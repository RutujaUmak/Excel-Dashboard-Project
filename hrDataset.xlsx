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3.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4.xml" ContentType="application/vnd.openxmlformats-officedocument.drawing+xml"/>
  <Override PartName="/xl/slicers/slicer1.xml" ContentType="application/vnd.ms-excel.slicer+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5.xml" ContentType="application/vnd.openxmlformats-officedocument.drawing+xml"/>
  <Override PartName="/xl/slicers/slicer2.xml" ContentType="application/vnd.ms-excel.slicer+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6.xml" ContentType="application/vnd.openxmlformats-officedocument.drawing+xml"/>
  <Override PartName="/xl/slicers/slicer3.xml" ContentType="application/vnd.ms-excel.slicer+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D:\it vedant\"/>
    </mc:Choice>
  </mc:AlternateContent>
  <xr:revisionPtr revIDLastSave="0" documentId="13_ncr:1_{D284B8AD-A105-4E7D-88B5-B892D521C874}" xr6:coauthVersionLast="47" xr6:coauthVersionMax="47" xr10:uidLastSave="{00000000-0000-0000-0000-000000000000}"/>
  <bookViews>
    <workbookView xWindow="-108" yWindow="-108" windowWidth="23256" windowHeight="12456" firstSheet="2" activeTab="2" xr2:uid="{581BB090-CE54-46A8-A134-A40CFB10A33D}"/>
  </bookViews>
  <sheets>
    <sheet name="Hr dataset" sheetId="1" r:id="rId1"/>
    <sheet name="Employee Demographics" sheetId="2" r:id="rId2"/>
    <sheet name="Salary&amp; Compensations" sheetId="3" r:id="rId3"/>
    <sheet name="Department &amp; Position" sheetId="5" r:id="rId4"/>
    <sheet name="Dashbord1" sheetId="6" r:id="rId5"/>
    <sheet name="Dashbord2" sheetId="7" r:id="rId6"/>
    <sheet name="Dashbord3" sheetId="8" r:id="rId7"/>
  </sheets>
  <definedNames>
    <definedName name="Slicer_Absences">#N/A</definedName>
    <definedName name="Slicer_Age_group">#N/A</definedName>
    <definedName name="Slicer_Age_group1">#N/A</definedName>
    <definedName name="Slicer_Department">#N/A</definedName>
    <definedName name="Slicer_Department1">#N/A</definedName>
    <definedName name="Slicer_Department2">#N/A</definedName>
    <definedName name="Slicer_Department3">#N/A</definedName>
    <definedName name="Slicer_Department4">#N/A</definedName>
    <definedName name="Slicer_Department5">#N/A</definedName>
    <definedName name="Slicer_Department6">#N/A</definedName>
    <definedName name="Slicer_EmploymentStatus">#N/A</definedName>
    <definedName name="Slicer_EmploymentStatus1">#N/A</definedName>
    <definedName name="Slicer_EmpSatisfaction">#N/A</definedName>
    <definedName name="Slicer_Gender">#N/A</definedName>
    <definedName name="Slicer_Gender1">#N/A</definedName>
    <definedName name="Slicer_MaritalStatus">#N/A</definedName>
    <definedName name="Slicer_PerformanceScore">#N/A</definedName>
    <definedName name="Slicer_Position">#N/A</definedName>
    <definedName name="Slicer_RaceDesc">#N/A</definedName>
    <definedName name="Slicer_RecruitmentSource">#N/A</definedName>
    <definedName name="Slicer_Salary">#N/A</definedName>
    <definedName name="Slicer_SpecialProjectsCount">#N/A</definedName>
    <definedName name="Slicer_State">#N/A</definedName>
    <definedName name="Slicer_State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0" i="3" l="1" a="1"/>
  <c r="G60" i="3"/>
  <c r="AA312" i="1"/>
  <c r="AB312" i="1" s="1" a="1"/>
  <c r="AB312" i="1" s="1"/>
  <c r="AA311" i="1"/>
  <c r="AB311" i="1" s="1" a="1"/>
  <c r="AB311" i="1" s="1"/>
  <c r="AA310" i="1"/>
  <c r="AB310" i="1" s="1" a="1"/>
  <c r="AB310" i="1" s="1"/>
  <c r="AA309" i="1"/>
  <c r="AB309" i="1" s="1" a="1"/>
  <c r="AB309" i="1" s="1"/>
  <c r="AB308" i="1" a="1"/>
  <c r="AB308" i="1" s="1"/>
  <c r="AA308" i="1"/>
  <c r="AA307" i="1"/>
  <c r="AB307" i="1" s="1" a="1"/>
  <c r="AB307" i="1" s="1"/>
  <c r="AA306" i="1"/>
  <c r="AB306" i="1" s="1" a="1"/>
  <c r="AB306" i="1" s="1"/>
  <c r="AB305" i="1"/>
  <c r="AA305" i="1"/>
  <c r="AB305" i="1" s="1" a="1"/>
  <c r="AB304" i="1" a="1"/>
  <c r="AB304" i="1" s="1"/>
  <c r="AA304" i="1"/>
  <c r="AB303" i="1"/>
  <c r="AA303" i="1"/>
  <c r="AB303" i="1" s="1" a="1"/>
  <c r="AB302" i="1" a="1"/>
  <c r="AB302" i="1" s="1"/>
  <c r="AA302" i="1"/>
  <c r="AA301" i="1"/>
  <c r="AB301" i="1" s="1" a="1"/>
  <c r="AB301" i="1" s="1"/>
  <c r="AB300" i="1" a="1"/>
  <c r="AB300" i="1" s="1"/>
  <c r="AA300" i="1"/>
  <c r="AA299" i="1"/>
  <c r="AB299" i="1" s="1" a="1"/>
  <c r="AB299" i="1" s="1"/>
  <c r="AA298" i="1"/>
  <c r="AB298" i="1" s="1" a="1"/>
  <c r="AB298" i="1" s="1"/>
  <c r="AB297" i="1"/>
  <c r="AA297" i="1"/>
  <c r="AB297" i="1" s="1" a="1"/>
  <c r="AB296" i="1" a="1"/>
  <c r="AB296" i="1" s="1"/>
  <c r="AA296" i="1"/>
  <c r="AB295" i="1"/>
  <c r="AA295" i="1"/>
  <c r="AB295" i="1" s="1" a="1"/>
  <c r="AA294" i="1"/>
  <c r="AB294" i="1" s="1" a="1"/>
  <c r="AB294" i="1" s="1"/>
  <c r="AA293" i="1"/>
  <c r="AB293" i="1" s="1" a="1"/>
  <c r="AB293" i="1" s="1"/>
  <c r="AB292" i="1" a="1"/>
  <c r="AB292" i="1" s="1"/>
  <c r="AA292" i="1"/>
  <c r="AA291" i="1"/>
  <c r="AB291" i="1" s="1" a="1"/>
  <c r="AB291" i="1" s="1"/>
  <c r="AA290" i="1"/>
  <c r="AB290" i="1" s="1" a="1"/>
  <c r="AB290" i="1" s="1"/>
  <c r="AB289" i="1"/>
  <c r="AA289" i="1"/>
  <c r="AB289" i="1" s="1" a="1"/>
  <c r="AB288" i="1" a="1"/>
  <c r="AB288" i="1" s="1"/>
  <c r="AA288" i="1"/>
  <c r="AB287" i="1"/>
  <c r="AA287" i="1"/>
  <c r="AB287" i="1" s="1" a="1"/>
  <c r="AB286" i="1" a="1"/>
  <c r="AB286" i="1" s="1"/>
  <c r="AA286" i="1"/>
  <c r="AA285" i="1"/>
  <c r="AB285" i="1" s="1" a="1"/>
  <c r="AB285" i="1" s="1"/>
  <c r="AB284" i="1" a="1"/>
  <c r="AB284" i="1" s="1"/>
  <c r="AA284" i="1"/>
  <c r="AA283" i="1"/>
  <c r="AB283" i="1" s="1" a="1"/>
  <c r="AB283" i="1" s="1"/>
  <c r="AA282" i="1"/>
  <c r="AB282" i="1" s="1" a="1"/>
  <c r="AB282" i="1" s="1"/>
  <c r="AB281" i="1"/>
  <c r="AA281" i="1"/>
  <c r="AB281" i="1" s="1" a="1"/>
  <c r="AB280" i="1" a="1"/>
  <c r="AB280" i="1" s="1"/>
  <c r="AA280" i="1"/>
  <c r="AB279" i="1"/>
  <c r="AA279" i="1"/>
  <c r="AB279" i="1" s="1" a="1"/>
  <c r="AA278" i="1"/>
  <c r="AB278" i="1" s="1" a="1"/>
  <c r="AB278" i="1" s="1"/>
  <c r="AA277" i="1"/>
  <c r="AB277" i="1" s="1" a="1"/>
  <c r="AB277" i="1" s="1"/>
  <c r="AB276" i="1" a="1"/>
  <c r="AB276" i="1" s="1"/>
  <c r="AA276" i="1"/>
  <c r="AA275" i="1"/>
  <c r="AB275" i="1" s="1" a="1"/>
  <c r="AB275" i="1" s="1"/>
  <c r="AA274" i="1"/>
  <c r="AB274" i="1" s="1" a="1"/>
  <c r="AB274" i="1" s="1"/>
  <c r="AB273" i="1"/>
  <c r="AA273" i="1"/>
  <c r="AB273" i="1" s="1" a="1"/>
  <c r="AB272" i="1" a="1"/>
  <c r="AB272" i="1" s="1"/>
  <c r="AA272" i="1"/>
  <c r="AB271" i="1"/>
  <c r="AA271" i="1"/>
  <c r="AB271" i="1" s="1" a="1"/>
  <c r="AB270" i="1" a="1"/>
  <c r="AB270" i="1" s="1"/>
  <c r="AA270" i="1"/>
  <c r="AA269" i="1"/>
  <c r="AB269" i="1" s="1" a="1"/>
  <c r="AB269" i="1" s="1"/>
  <c r="AB268" i="1" a="1"/>
  <c r="AB268" i="1" s="1"/>
  <c r="AA268" i="1"/>
  <c r="AA267" i="1"/>
  <c r="AB267" i="1" s="1" a="1"/>
  <c r="AB267" i="1" s="1"/>
  <c r="AA266" i="1"/>
  <c r="AB266" i="1" s="1" a="1"/>
  <c r="AB266" i="1" s="1"/>
  <c r="AB265" i="1"/>
  <c r="AA265" i="1"/>
  <c r="AB265" i="1" s="1" a="1"/>
  <c r="AB264" i="1" a="1"/>
  <c r="AB264" i="1" s="1"/>
  <c r="AA264" i="1"/>
  <c r="AB263" i="1"/>
  <c r="AA263" i="1"/>
  <c r="AB263" i="1" s="1" a="1"/>
  <c r="AA262" i="1"/>
  <c r="AB262" i="1" s="1" a="1"/>
  <c r="AB262" i="1" s="1"/>
  <c r="AA261" i="1"/>
  <c r="AB261" i="1" s="1" a="1"/>
  <c r="AB261" i="1" s="1"/>
  <c r="AB260" i="1" a="1"/>
  <c r="AB260" i="1" s="1"/>
  <c r="AA260" i="1"/>
  <c r="AA259" i="1"/>
  <c r="AB259" i="1" s="1" a="1"/>
  <c r="AB259" i="1" s="1"/>
  <c r="AA258" i="1"/>
  <c r="AB258" i="1" s="1" a="1"/>
  <c r="AB258" i="1" s="1"/>
  <c r="AB257" i="1"/>
  <c r="AA257" i="1"/>
  <c r="AB257" i="1" s="1" a="1"/>
  <c r="AB256" i="1" a="1"/>
  <c r="AB256" i="1" s="1"/>
  <c r="AA256" i="1"/>
  <c r="AB255" i="1"/>
  <c r="AA255" i="1"/>
  <c r="AB255" i="1" s="1" a="1"/>
  <c r="AB254" i="1" a="1"/>
  <c r="AB254" i="1" s="1"/>
  <c r="AA254" i="1"/>
  <c r="AA253" i="1"/>
  <c r="AB253" i="1" s="1" a="1"/>
  <c r="AB253" i="1" s="1"/>
  <c r="AB252" i="1" a="1"/>
  <c r="AB252" i="1" s="1"/>
  <c r="AA252" i="1"/>
  <c r="AA251" i="1"/>
  <c r="AB251" i="1" s="1" a="1"/>
  <c r="AB251" i="1" s="1"/>
  <c r="AA250" i="1"/>
  <c r="AB250" i="1" s="1" a="1"/>
  <c r="AB250" i="1" s="1"/>
  <c r="AB249" i="1"/>
  <c r="AA249" i="1"/>
  <c r="AB249" i="1" s="1" a="1"/>
  <c r="AB248" i="1" a="1"/>
  <c r="AB248" i="1" s="1"/>
  <c r="AA248" i="1"/>
  <c r="AB247" i="1"/>
  <c r="AA247" i="1"/>
  <c r="AB247" i="1" s="1" a="1"/>
  <c r="AA246" i="1"/>
  <c r="AB246" i="1" s="1" a="1"/>
  <c r="AB246" i="1" s="1"/>
  <c r="AA245" i="1"/>
  <c r="AB245" i="1" s="1" a="1"/>
  <c r="AB245" i="1" s="1"/>
  <c r="AB244" i="1" a="1"/>
  <c r="AB244" i="1" s="1"/>
  <c r="AA244" i="1"/>
  <c r="AA243" i="1"/>
  <c r="AB243" i="1" s="1" a="1"/>
  <c r="AB243" i="1" s="1"/>
  <c r="AA242" i="1"/>
  <c r="AB242" i="1" s="1" a="1"/>
  <c r="AB242" i="1" s="1"/>
  <c r="AB241" i="1"/>
  <c r="AA241" i="1"/>
  <c r="AB241" i="1" s="1" a="1"/>
  <c r="AB240" i="1" a="1"/>
  <c r="AB240" i="1" s="1"/>
  <c r="AA240" i="1"/>
  <c r="AB239" i="1"/>
  <c r="AA239" i="1"/>
  <c r="AB239" i="1" s="1" a="1"/>
  <c r="AB238" i="1" a="1"/>
  <c r="AB238" i="1" s="1"/>
  <c r="AA238" i="1"/>
  <c r="AA237" i="1"/>
  <c r="AB237" i="1" s="1" a="1"/>
  <c r="AB237" i="1" s="1"/>
  <c r="AB236" i="1" a="1"/>
  <c r="AB236" i="1" s="1"/>
  <c r="AA236" i="1"/>
  <c r="AA235" i="1"/>
  <c r="AB235" i="1" s="1" a="1"/>
  <c r="AB235" i="1" s="1"/>
  <c r="AA234" i="1"/>
  <c r="AB234" i="1" s="1" a="1"/>
  <c r="AB234" i="1" s="1"/>
  <c r="AB233" i="1"/>
  <c r="AA233" i="1"/>
  <c r="AB233" i="1" s="1" a="1"/>
  <c r="AB232" i="1" a="1"/>
  <c r="AB232" i="1" s="1"/>
  <c r="AA232" i="1"/>
  <c r="AB231" i="1"/>
  <c r="AA231" i="1"/>
  <c r="AB231" i="1" s="1" a="1"/>
  <c r="AA230" i="1"/>
  <c r="AB230" i="1" s="1" a="1"/>
  <c r="AB230" i="1" s="1"/>
  <c r="AA229" i="1"/>
  <c r="AB229" i="1" s="1" a="1"/>
  <c r="AB229" i="1" s="1"/>
  <c r="AB228" i="1" a="1"/>
  <c r="AB228" i="1" s="1"/>
  <c r="AA228" i="1"/>
  <c r="AA227" i="1"/>
  <c r="AB227" i="1" s="1" a="1"/>
  <c r="AB227" i="1" s="1"/>
  <c r="AA226" i="1"/>
  <c r="AB226" i="1" s="1" a="1"/>
  <c r="AB226" i="1" s="1"/>
  <c r="AB225" i="1"/>
  <c r="AA225" i="1"/>
  <c r="AB225" i="1" s="1" a="1"/>
  <c r="AB224" i="1" a="1"/>
  <c r="AB224" i="1" s="1"/>
  <c r="AA224" i="1"/>
  <c r="AB223" i="1"/>
  <c r="AA223" i="1"/>
  <c r="AB223" i="1" s="1" a="1"/>
  <c r="AB222" i="1" a="1"/>
  <c r="AB222" i="1" s="1"/>
  <c r="AA222" i="1"/>
  <c r="AA221" i="1"/>
  <c r="AB221" i="1" s="1" a="1"/>
  <c r="AB221" i="1" s="1"/>
  <c r="AB220" i="1" a="1"/>
  <c r="AB220" i="1" s="1"/>
  <c r="AA220" i="1"/>
  <c r="AA219" i="1"/>
  <c r="AB219" i="1" s="1" a="1"/>
  <c r="AB219" i="1" s="1"/>
  <c r="AA218" i="1"/>
  <c r="AB218" i="1" s="1" a="1"/>
  <c r="AB218" i="1" s="1"/>
  <c r="AB217" i="1"/>
  <c r="AA217" i="1"/>
  <c r="AB217" i="1" s="1" a="1"/>
  <c r="AB216" i="1" a="1"/>
  <c r="AB216" i="1" s="1"/>
  <c r="AA216" i="1"/>
  <c r="AB215" i="1"/>
  <c r="AA215" i="1"/>
  <c r="AB215" i="1" s="1" a="1"/>
  <c r="AA214" i="1"/>
  <c r="AB214" i="1" s="1" a="1"/>
  <c r="AB214" i="1" s="1"/>
  <c r="AA213" i="1"/>
  <c r="AB213" i="1" s="1" a="1"/>
  <c r="AB213" i="1" s="1"/>
  <c r="AB212" i="1" a="1"/>
  <c r="AB212" i="1" s="1"/>
  <c r="AA212" i="1"/>
  <c r="AA211" i="1"/>
  <c r="AB211" i="1" s="1" a="1"/>
  <c r="AB211" i="1" s="1"/>
  <c r="AA210" i="1"/>
  <c r="AB210" i="1" s="1" a="1"/>
  <c r="AB210" i="1" s="1"/>
  <c r="AB209" i="1"/>
  <c r="AA209" i="1"/>
  <c r="AB209" i="1" s="1" a="1"/>
  <c r="AB208" i="1" a="1"/>
  <c r="AB208" i="1" s="1"/>
  <c r="AA208" i="1"/>
  <c r="AB207" i="1"/>
  <c r="AA207" i="1"/>
  <c r="AB207" i="1" s="1" a="1"/>
  <c r="AB206" i="1" a="1"/>
  <c r="AB206" i="1" s="1"/>
  <c r="AA206" i="1"/>
  <c r="AA205" i="1"/>
  <c r="AB205" i="1" s="1" a="1"/>
  <c r="AB205" i="1" s="1"/>
  <c r="AB204" i="1" a="1"/>
  <c r="AB204" i="1" s="1"/>
  <c r="AA204" i="1"/>
  <c r="AA203" i="1"/>
  <c r="AB203" i="1" s="1" a="1"/>
  <c r="AB203" i="1" s="1"/>
  <c r="AA202" i="1"/>
  <c r="AB202" i="1" s="1" a="1"/>
  <c r="AB202" i="1" s="1"/>
  <c r="AB201" i="1"/>
  <c r="AA201" i="1"/>
  <c r="AB201" i="1" s="1" a="1"/>
  <c r="AB200" i="1" a="1"/>
  <c r="AB200" i="1" s="1"/>
  <c r="AA200" i="1"/>
  <c r="AB199" i="1"/>
  <c r="AA199" i="1"/>
  <c r="AB199" i="1" s="1" a="1"/>
  <c r="AA198" i="1"/>
  <c r="AB198" i="1" s="1" a="1"/>
  <c r="AB198" i="1" s="1"/>
  <c r="AA197" i="1"/>
  <c r="AB197" i="1" s="1" a="1"/>
  <c r="AB197" i="1" s="1"/>
  <c r="AB196" i="1" a="1"/>
  <c r="AB196" i="1" s="1"/>
  <c r="AA196" i="1"/>
  <c r="AA195" i="1"/>
  <c r="AB195" i="1" s="1" a="1"/>
  <c r="AB195" i="1" s="1"/>
  <c r="AA194" i="1"/>
  <c r="AB194" i="1" s="1" a="1"/>
  <c r="AB194" i="1" s="1"/>
  <c r="AB193" i="1"/>
  <c r="AA193" i="1"/>
  <c r="AB193" i="1" s="1" a="1"/>
  <c r="AB192" i="1" a="1"/>
  <c r="AB192" i="1" s="1"/>
  <c r="AA192" i="1"/>
  <c r="AB191" i="1"/>
  <c r="AA191" i="1"/>
  <c r="AB191" i="1" s="1" a="1"/>
  <c r="AB190" i="1" a="1"/>
  <c r="AB190" i="1" s="1"/>
  <c r="AA190" i="1"/>
  <c r="AA189" i="1"/>
  <c r="AB189" i="1" s="1" a="1"/>
  <c r="AB189" i="1" s="1"/>
  <c r="AB188" i="1" a="1"/>
  <c r="AB188" i="1" s="1"/>
  <c r="AA188" i="1"/>
  <c r="AA187" i="1"/>
  <c r="AB187" i="1" s="1" a="1"/>
  <c r="AB187" i="1" s="1"/>
  <c r="AA186" i="1"/>
  <c r="AB186" i="1" s="1" a="1"/>
  <c r="AB186" i="1" s="1"/>
  <c r="AB185" i="1"/>
  <c r="AA185" i="1"/>
  <c r="AB185" i="1" s="1" a="1"/>
  <c r="AB184" i="1" a="1"/>
  <c r="AB184" i="1" s="1"/>
  <c r="AA184" i="1"/>
  <c r="AB183" i="1"/>
  <c r="AA183" i="1"/>
  <c r="AB183" i="1" s="1" a="1"/>
  <c r="AA182" i="1"/>
  <c r="AB182" i="1" s="1" a="1"/>
  <c r="AB182" i="1" s="1"/>
  <c r="AA181" i="1"/>
  <c r="AB181" i="1" s="1" a="1"/>
  <c r="AB181" i="1" s="1"/>
  <c r="AB180" i="1" a="1"/>
  <c r="AB180" i="1" s="1"/>
  <c r="AA180" i="1"/>
  <c r="AA179" i="1"/>
  <c r="AB179" i="1" s="1" a="1"/>
  <c r="AB179" i="1" s="1"/>
  <c r="AA178" i="1"/>
  <c r="AB178" i="1" s="1" a="1"/>
  <c r="AB178" i="1" s="1"/>
  <c r="AB177" i="1"/>
  <c r="AA177" i="1"/>
  <c r="AB177" i="1" s="1" a="1"/>
  <c r="AB176" i="1" a="1"/>
  <c r="AB176" i="1" s="1"/>
  <c r="AA176" i="1"/>
  <c r="AB175" i="1"/>
  <c r="AA175" i="1"/>
  <c r="AB175" i="1" s="1" a="1"/>
  <c r="AB174" i="1" a="1"/>
  <c r="AB174" i="1" s="1"/>
  <c r="AA174" i="1"/>
  <c r="AA173" i="1"/>
  <c r="AB173" i="1" s="1" a="1"/>
  <c r="AB173" i="1" s="1"/>
  <c r="AB172" i="1" a="1"/>
  <c r="AB172" i="1" s="1"/>
  <c r="AA172" i="1"/>
  <c r="AA171" i="1"/>
  <c r="AB171" i="1" s="1" a="1"/>
  <c r="AB171" i="1" s="1"/>
  <c r="AA170" i="1"/>
  <c r="AB170" i="1" s="1" a="1"/>
  <c r="AB170" i="1" s="1"/>
  <c r="AB169" i="1"/>
  <c r="AA169" i="1"/>
  <c r="AB169" i="1" s="1" a="1"/>
  <c r="AB168" i="1" a="1"/>
  <c r="AB168" i="1" s="1"/>
  <c r="AA168" i="1"/>
  <c r="AB167" i="1"/>
  <c r="AA167" i="1"/>
  <c r="AB167" i="1" s="1" a="1"/>
  <c r="AA166" i="1"/>
  <c r="AB166" i="1" s="1" a="1"/>
  <c r="AB166" i="1" s="1"/>
  <c r="AA165" i="1"/>
  <c r="AB165" i="1" s="1" a="1"/>
  <c r="AB165" i="1" s="1"/>
  <c r="AB164" i="1" a="1"/>
  <c r="AB164" i="1" s="1"/>
  <c r="AA164" i="1"/>
  <c r="AA163" i="1"/>
  <c r="AB163" i="1" s="1" a="1"/>
  <c r="AB163" i="1" s="1"/>
  <c r="AA162" i="1"/>
  <c r="AB162" i="1" s="1" a="1"/>
  <c r="AB162" i="1" s="1"/>
  <c r="AB161" i="1"/>
  <c r="AA161" i="1"/>
  <c r="AB161" i="1" s="1" a="1"/>
  <c r="AB160" i="1" a="1"/>
  <c r="AB160" i="1" s="1"/>
  <c r="AA160" i="1"/>
  <c r="AB159" i="1"/>
  <c r="AA159" i="1"/>
  <c r="AB159" i="1" s="1" a="1"/>
  <c r="AB158" i="1" a="1"/>
  <c r="AB158" i="1" s="1"/>
  <c r="AA158" i="1"/>
  <c r="AA157" i="1"/>
  <c r="AB157" i="1" s="1" a="1"/>
  <c r="AB157" i="1" s="1"/>
  <c r="AB156" i="1" a="1"/>
  <c r="AB156" i="1" s="1"/>
  <c r="AA156" i="1"/>
  <c r="AA155" i="1"/>
  <c r="AB155" i="1" s="1" a="1"/>
  <c r="AB155" i="1" s="1"/>
  <c r="AA154" i="1"/>
  <c r="AB154" i="1" s="1" a="1"/>
  <c r="AB154" i="1" s="1"/>
  <c r="AB153" i="1"/>
  <c r="AA153" i="1"/>
  <c r="AB153" i="1" s="1" a="1"/>
  <c r="AB152" i="1" a="1"/>
  <c r="AB152" i="1" s="1"/>
  <c r="AA152" i="1"/>
  <c r="AB151" i="1"/>
  <c r="AA151" i="1"/>
  <c r="AB151" i="1" s="1" a="1"/>
  <c r="AA150" i="1"/>
  <c r="AB150" i="1" s="1" a="1"/>
  <c r="AB150" i="1" s="1"/>
  <c r="AA149" i="1"/>
  <c r="AB149" i="1" s="1" a="1"/>
  <c r="AB149" i="1" s="1"/>
  <c r="AB148" i="1" a="1"/>
  <c r="AB148" i="1" s="1"/>
  <c r="AA148" i="1"/>
  <c r="AA147" i="1"/>
  <c r="AB147" i="1" s="1" a="1"/>
  <c r="AB147" i="1" s="1"/>
  <c r="AA146" i="1"/>
  <c r="AB146" i="1" s="1" a="1"/>
  <c r="AB146" i="1" s="1"/>
  <c r="AB145" i="1"/>
  <c r="AA145" i="1"/>
  <c r="AB145" i="1" s="1" a="1"/>
  <c r="AB144" i="1" a="1"/>
  <c r="AB144" i="1" s="1"/>
  <c r="AA144" i="1"/>
  <c r="AB143" i="1"/>
  <c r="AA143" i="1"/>
  <c r="AB143" i="1" s="1" a="1"/>
  <c r="AB142" i="1" a="1"/>
  <c r="AB142" i="1" s="1"/>
  <c r="AA142" i="1"/>
  <c r="AB141" i="1" a="1"/>
  <c r="AB141" i="1" s="1"/>
  <c r="AA141" i="1"/>
  <c r="AA140" i="1"/>
  <c r="AB140" i="1" s="1" a="1"/>
  <c r="AB140" i="1" s="1"/>
  <c r="AA139" i="1"/>
  <c r="AB139" i="1" s="1" a="1"/>
  <c r="AB139" i="1" s="1"/>
  <c r="AA138" i="1"/>
  <c r="AB138" i="1" s="1" a="1"/>
  <c r="AB138" i="1" s="1"/>
  <c r="AB137" i="1" a="1"/>
  <c r="AB137" i="1" s="1"/>
  <c r="AA137" i="1"/>
  <c r="AA136" i="1"/>
  <c r="AB136" i="1" s="1" a="1"/>
  <c r="AB136" i="1" s="1"/>
  <c r="AA135" i="1"/>
  <c r="AB135" i="1" s="1" a="1"/>
  <c r="AB135" i="1" s="1"/>
  <c r="AA134" i="1"/>
  <c r="AB134" i="1" s="1" a="1"/>
  <c r="AB134" i="1" s="1"/>
  <c r="AB133" i="1" a="1"/>
  <c r="AB133" i="1" s="1"/>
  <c r="AA133" i="1"/>
  <c r="AB132" i="1"/>
  <c r="AA132" i="1"/>
  <c r="AB132" i="1" s="1" a="1"/>
  <c r="AA131" i="1"/>
  <c r="AB131" i="1" s="1" a="1"/>
  <c r="AB131" i="1" s="1"/>
  <c r="AA130" i="1"/>
  <c r="AB130" i="1" s="1" a="1"/>
  <c r="AB130" i="1" s="1"/>
  <c r="AB129" i="1" a="1"/>
  <c r="AB129" i="1" s="1"/>
  <c r="AA129" i="1"/>
  <c r="AA128" i="1"/>
  <c r="AB128" i="1" s="1" a="1"/>
  <c r="AB128" i="1" s="1"/>
  <c r="AA127" i="1"/>
  <c r="AB127" i="1" s="1" a="1"/>
  <c r="AB127" i="1" s="1"/>
  <c r="AA126" i="1"/>
  <c r="AB126" i="1" s="1" a="1"/>
  <c r="AB126" i="1" s="1"/>
  <c r="AB125" i="1" a="1"/>
  <c r="AB125" i="1" s="1"/>
  <c r="AA125" i="1"/>
  <c r="AA124" i="1"/>
  <c r="AB124" i="1" s="1" a="1"/>
  <c r="AB124" i="1" s="1"/>
  <c r="AA123" i="1"/>
  <c r="AB123" i="1" s="1" a="1"/>
  <c r="AB123" i="1" s="1"/>
  <c r="AA122" i="1"/>
  <c r="AB122" i="1" s="1" a="1"/>
  <c r="AB122" i="1" s="1"/>
  <c r="AB121" i="1" a="1"/>
  <c r="AB121" i="1" s="1"/>
  <c r="AA121" i="1"/>
  <c r="AA120" i="1"/>
  <c r="AB120" i="1" s="1" a="1"/>
  <c r="AB120" i="1" s="1"/>
  <c r="AA119" i="1"/>
  <c r="AB119" i="1" s="1" a="1"/>
  <c r="AB119" i="1" s="1"/>
  <c r="AA118" i="1"/>
  <c r="AB118" i="1" s="1" a="1"/>
  <c r="AB118" i="1" s="1"/>
  <c r="AB117" i="1" a="1"/>
  <c r="AB117" i="1" s="1"/>
  <c r="AA117" i="1"/>
  <c r="AA116" i="1"/>
  <c r="AB116" i="1" s="1" a="1"/>
  <c r="AB116" i="1" s="1"/>
  <c r="AA115" i="1"/>
  <c r="AB115" i="1" s="1" a="1"/>
  <c r="AB115" i="1" s="1"/>
  <c r="AA114" i="1"/>
  <c r="AB114" i="1" s="1" a="1"/>
  <c r="AB114" i="1" s="1"/>
  <c r="AB113" i="1" a="1"/>
  <c r="AB113" i="1" s="1"/>
  <c r="AA113" i="1"/>
  <c r="AA112" i="1"/>
  <c r="AB112" i="1" s="1" a="1"/>
  <c r="AB112" i="1" s="1"/>
  <c r="AA111" i="1"/>
  <c r="AB111" i="1" s="1" a="1"/>
  <c r="AB111" i="1" s="1"/>
  <c r="AA110" i="1"/>
  <c r="AB110" i="1" s="1" a="1"/>
  <c r="AB110" i="1" s="1"/>
  <c r="AB109" i="1" a="1"/>
  <c r="AB109" i="1" s="1"/>
  <c r="AA109" i="1"/>
  <c r="AA108" i="1"/>
  <c r="AB108" i="1" s="1" a="1"/>
  <c r="AB108" i="1" s="1"/>
  <c r="AA107" i="1"/>
  <c r="AB107" i="1" s="1" a="1"/>
  <c r="AB107" i="1" s="1"/>
  <c r="AA106" i="1"/>
  <c r="AB106" i="1" s="1" a="1"/>
  <c r="AB106" i="1" s="1"/>
  <c r="AB105" i="1" a="1"/>
  <c r="AB105" i="1" s="1"/>
  <c r="AA105" i="1"/>
  <c r="AA104" i="1"/>
  <c r="AB104" i="1" s="1" a="1"/>
  <c r="AB104" i="1" s="1"/>
  <c r="AA103" i="1"/>
  <c r="AB103" i="1" s="1" a="1"/>
  <c r="AB103" i="1" s="1"/>
  <c r="AA102" i="1"/>
  <c r="AB102" i="1" s="1" a="1"/>
  <c r="AB102" i="1" s="1"/>
  <c r="AB101" i="1" a="1"/>
  <c r="AB101" i="1" s="1"/>
  <c r="AA101" i="1"/>
  <c r="AB100" i="1"/>
  <c r="AA100" i="1"/>
  <c r="AB100" i="1" s="1" a="1"/>
  <c r="AA99" i="1"/>
  <c r="AB99" i="1" s="1" a="1"/>
  <c r="AB99" i="1" s="1"/>
  <c r="AA98" i="1"/>
  <c r="AB98" i="1" s="1" a="1"/>
  <c r="AB98" i="1" s="1"/>
  <c r="AB97" i="1" a="1"/>
  <c r="AB97" i="1" s="1"/>
  <c r="AA97" i="1"/>
  <c r="AA96" i="1"/>
  <c r="AB96" i="1" s="1" a="1"/>
  <c r="AB96" i="1" s="1"/>
  <c r="AA95" i="1"/>
  <c r="AB95" i="1" s="1" a="1"/>
  <c r="AB95" i="1" s="1"/>
  <c r="AA94" i="1"/>
  <c r="AB94" i="1" s="1" a="1"/>
  <c r="AB94" i="1" s="1"/>
  <c r="AB93" i="1" a="1"/>
  <c r="AB93" i="1" s="1"/>
  <c r="AA93" i="1"/>
  <c r="AA92" i="1"/>
  <c r="AB92" i="1" s="1" a="1"/>
  <c r="AB92" i="1" s="1"/>
  <c r="AA91" i="1"/>
  <c r="AB91" i="1" s="1" a="1"/>
  <c r="AB91" i="1" s="1"/>
  <c r="AA90" i="1"/>
  <c r="AB90" i="1" s="1" a="1"/>
  <c r="AB90" i="1" s="1"/>
  <c r="AB89" i="1" a="1"/>
  <c r="AB89" i="1" s="1"/>
  <c r="AA89" i="1"/>
  <c r="AA88" i="1"/>
  <c r="AB88" i="1" s="1" a="1"/>
  <c r="AB88" i="1" s="1"/>
  <c r="AA87" i="1"/>
  <c r="AB87" i="1" s="1" a="1"/>
  <c r="AB87" i="1" s="1"/>
  <c r="AA86" i="1"/>
  <c r="AB86" i="1" s="1" a="1"/>
  <c r="AB86" i="1" s="1"/>
  <c r="AB85" i="1" a="1"/>
  <c r="AB85" i="1" s="1"/>
  <c r="AA85" i="1"/>
  <c r="AA84" i="1"/>
  <c r="AB84" i="1" s="1" a="1"/>
  <c r="AB84" i="1" s="1"/>
  <c r="AA83" i="1"/>
  <c r="AB83" i="1" s="1" a="1"/>
  <c r="AB83" i="1" s="1"/>
  <c r="AA82" i="1"/>
  <c r="AB82" i="1" s="1" a="1"/>
  <c r="AB82" i="1" s="1"/>
  <c r="AB81" i="1" a="1"/>
  <c r="AB81" i="1" s="1"/>
  <c r="AA81" i="1"/>
  <c r="AA80" i="1"/>
  <c r="AB80" i="1" s="1" a="1"/>
  <c r="AB80" i="1" s="1"/>
  <c r="AA79" i="1"/>
  <c r="AB79" i="1" s="1" a="1"/>
  <c r="AB79" i="1" s="1"/>
  <c r="AA78" i="1"/>
  <c r="AB78" i="1" s="1" a="1"/>
  <c r="AB78" i="1" s="1"/>
  <c r="AB77" i="1" a="1"/>
  <c r="AB77" i="1" s="1"/>
  <c r="AA77" i="1"/>
  <c r="AA76" i="1"/>
  <c r="AB76" i="1" s="1" a="1"/>
  <c r="AB76" i="1" s="1"/>
  <c r="AA75" i="1"/>
  <c r="AB75" i="1" s="1" a="1"/>
  <c r="AB75" i="1" s="1"/>
  <c r="AA74" i="1"/>
  <c r="AB74" i="1" s="1" a="1"/>
  <c r="AB74" i="1" s="1"/>
  <c r="AB73" i="1" a="1"/>
  <c r="AB73" i="1" s="1"/>
  <c r="AA73" i="1"/>
  <c r="AB72" i="1" a="1"/>
  <c r="AB72" i="1" s="1"/>
  <c r="AA72" i="1"/>
  <c r="AA71" i="1"/>
  <c r="AB71" i="1" s="1" a="1"/>
  <c r="AB71" i="1" s="1"/>
  <c r="AA70" i="1"/>
  <c r="AB70" i="1" s="1" a="1"/>
  <c r="AB70" i="1" s="1"/>
  <c r="AB69" i="1" a="1"/>
  <c r="AB69" i="1" s="1"/>
  <c r="AA69" i="1"/>
  <c r="AA68" i="1"/>
  <c r="AB68" i="1" s="1" a="1"/>
  <c r="AB68" i="1" s="1"/>
  <c r="AA67" i="1"/>
  <c r="AB67" i="1" s="1" a="1"/>
  <c r="AB67" i="1" s="1"/>
  <c r="AA66" i="1"/>
  <c r="AB66" i="1" s="1" a="1"/>
  <c r="AB66" i="1" s="1"/>
  <c r="AB65" i="1"/>
  <c r="AB65" i="1" a="1"/>
  <c r="AA65" i="1"/>
  <c r="AA64" i="1"/>
  <c r="AB64" i="1" s="1" a="1"/>
  <c r="AB64" i="1" s="1"/>
  <c r="AA63" i="1"/>
  <c r="AB63" i="1" s="1" a="1"/>
  <c r="AB63" i="1" s="1"/>
  <c r="AA62" i="1"/>
  <c r="AB62" i="1" s="1" a="1"/>
  <c r="AB62" i="1" s="1"/>
  <c r="AB61" i="1" a="1"/>
  <c r="AB61" i="1" s="1"/>
  <c r="AA61" i="1"/>
  <c r="AA60" i="1"/>
  <c r="AB60" i="1" s="1" a="1"/>
  <c r="AB60" i="1" s="1"/>
  <c r="AB59" i="1" a="1"/>
  <c r="AB59" i="1" s="1"/>
  <c r="AA59" i="1"/>
  <c r="AA58" i="1"/>
  <c r="AB58" i="1" s="1" a="1"/>
  <c r="AB58" i="1" s="1"/>
  <c r="AB57" i="1" a="1"/>
  <c r="AB57" i="1" s="1"/>
  <c r="AA57" i="1"/>
  <c r="AA56" i="1"/>
  <c r="AB56" i="1" s="1" a="1"/>
  <c r="AB56" i="1" s="1"/>
  <c r="AA55" i="1"/>
  <c r="AB55" i="1" s="1" a="1"/>
  <c r="AB55" i="1" s="1"/>
  <c r="AB54" i="1" a="1"/>
  <c r="AB54" i="1" s="1"/>
  <c r="AA54" i="1"/>
  <c r="AB53" i="1" a="1"/>
  <c r="AB53" i="1" s="1"/>
  <c r="AA53" i="1"/>
  <c r="AA52" i="1"/>
  <c r="AB52" i="1" s="1" a="1"/>
  <c r="AB52" i="1" s="1"/>
  <c r="AA51" i="1"/>
  <c r="AB51" i="1" s="1" a="1"/>
  <c r="AB51" i="1" s="1"/>
  <c r="AB50" i="1" a="1"/>
  <c r="AB50" i="1" s="1"/>
  <c r="AA50" i="1"/>
  <c r="AB49" i="1" a="1"/>
  <c r="AB49" i="1" s="1"/>
  <c r="AA49" i="1"/>
  <c r="AA48" i="1"/>
  <c r="AB48" i="1" s="1" a="1"/>
  <c r="AB48" i="1" s="1"/>
  <c r="AA47" i="1"/>
  <c r="AB47" i="1" s="1" a="1"/>
  <c r="AB47" i="1" s="1"/>
  <c r="AB46" i="1" a="1"/>
  <c r="AB46" i="1" s="1"/>
  <c r="AA46" i="1"/>
  <c r="AB45" i="1" a="1"/>
  <c r="AB45" i="1" s="1"/>
  <c r="AA45" i="1"/>
  <c r="AA44" i="1"/>
  <c r="AB44" i="1" s="1" a="1"/>
  <c r="AB44" i="1" s="1"/>
  <c r="AA43" i="1"/>
  <c r="AB43" i="1" s="1" a="1"/>
  <c r="AB43" i="1" s="1"/>
  <c r="AB42" i="1" a="1"/>
  <c r="AB42" i="1" s="1"/>
  <c r="AA42" i="1"/>
  <c r="AB41" i="1" a="1"/>
  <c r="AB41" i="1" s="1"/>
  <c r="AA41" i="1"/>
  <c r="AA40" i="1"/>
  <c r="AB40" i="1" s="1" a="1"/>
  <c r="AB40" i="1" s="1"/>
  <c r="AA39" i="1"/>
  <c r="AB39" i="1" s="1" a="1"/>
  <c r="AB39" i="1" s="1"/>
  <c r="AB38" i="1" a="1"/>
  <c r="AB38" i="1" s="1"/>
  <c r="AA38" i="1"/>
  <c r="AB37" i="1" a="1"/>
  <c r="AB37" i="1" s="1"/>
  <c r="AA37" i="1"/>
  <c r="AA36" i="1"/>
  <c r="AB36" i="1" s="1" a="1"/>
  <c r="AB36" i="1" s="1"/>
  <c r="AA35" i="1"/>
  <c r="AB35" i="1" s="1" a="1"/>
  <c r="AB35" i="1" s="1"/>
  <c r="AB34" i="1" a="1"/>
  <c r="AB34" i="1" s="1"/>
  <c r="AA34" i="1"/>
  <c r="AB33" i="1" a="1"/>
  <c r="AB33" i="1" s="1"/>
  <c r="AA33" i="1"/>
  <c r="AA32" i="1"/>
  <c r="AB32" i="1" s="1" a="1"/>
  <c r="AB32" i="1" s="1"/>
  <c r="AA31" i="1"/>
  <c r="AB31" i="1" s="1" a="1"/>
  <c r="AB31" i="1" s="1"/>
  <c r="AB30" i="1" a="1"/>
  <c r="AB30" i="1" s="1"/>
  <c r="AA30" i="1"/>
  <c r="AB29" i="1" a="1"/>
  <c r="AB29" i="1" s="1"/>
  <c r="AA29" i="1"/>
  <c r="AA28" i="1"/>
  <c r="AB28" i="1" s="1" a="1"/>
  <c r="AB28" i="1" s="1"/>
  <c r="AA27" i="1"/>
  <c r="AB27" i="1" s="1" a="1"/>
  <c r="AB27" i="1" s="1"/>
  <c r="AB26" i="1" a="1"/>
  <c r="AB26" i="1" s="1"/>
  <c r="AA26" i="1"/>
  <c r="AB25" i="1" a="1"/>
  <c r="AB25" i="1" s="1"/>
  <c r="AA25" i="1"/>
  <c r="AA24" i="1"/>
  <c r="AB24" i="1" s="1" a="1"/>
  <c r="AB24" i="1" s="1"/>
  <c r="AA23" i="1"/>
  <c r="AB23" i="1" s="1" a="1"/>
  <c r="AB23" i="1" s="1"/>
  <c r="AB22" i="1" a="1"/>
  <c r="AB22" i="1" s="1"/>
  <c r="AA22" i="1"/>
  <c r="AB21" i="1" a="1"/>
  <c r="AB21" i="1" s="1"/>
  <c r="AA21" i="1"/>
  <c r="AA20" i="1"/>
  <c r="AB20" i="1" s="1" a="1"/>
  <c r="AB20" i="1" s="1"/>
  <c r="AA19" i="1"/>
  <c r="AB19" i="1" s="1" a="1"/>
  <c r="AB19" i="1" s="1"/>
  <c r="AB18" i="1" a="1"/>
  <c r="AB18" i="1" s="1"/>
  <c r="AA18" i="1"/>
  <c r="AB17" i="1" a="1"/>
  <c r="AB17" i="1" s="1"/>
  <c r="AA17" i="1"/>
  <c r="AA16" i="1"/>
  <c r="AB16" i="1" s="1" a="1"/>
  <c r="AB16" i="1" s="1"/>
  <c r="AA15" i="1"/>
  <c r="AB15" i="1" s="1" a="1"/>
  <c r="AB15" i="1" s="1"/>
  <c r="AB14" i="1" a="1"/>
  <c r="AB14" i="1" s="1"/>
  <c r="AA14" i="1"/>
  <c r="AB13" i="1" a="1"/>
  <c r="AB13" i="1" s="1"/>
  <c r="AA13" i="1"/>
  <c r="AA12" i="1"/>
  <c r="AB12" i="1" s="1" a="1"/>
  <c r="AB12" i="1" s="1"/>
  <c r="AA11" i="1"/>
  <c r="AB11" i="1" s="1" a="1"/>
  <c r="AB11" i="1" s="1"/>
  <c r="AB10" i="1" a="1"/>
  <c r="AB10" i="1" s="1"/>
  <c r="AA10" i="1"/>
  <c r="AB9" i="1" a="1"/>
  <c r="AB9" i="1" s="1"/>
  <c r="AA9" i="1"/>
  <c r="AA8" i="1"/>
  <c r="AB8" i="1" s="1" a="1"/>
  <c r="AB8" i="1" s="1"/>
  <c r="AA7" i="1"/>
  <c r="AB7" i="1" s="1" a="1"/>
  <c r="AB7" i="1" s="1"/>
  <c r="AB6" i="1" a="1"/>
  <c r="AB6" i="1" s="1"/>
  <c r="AA6" i="1"/>
  <c r="AB5" i="1" a="1"/>
  <c r="AB5" i="1" s="1"/>
  <c r="AA5" i="1"/>
  <c r="AA4" i="1"/>
  <c r="AB4" i="1" s="1" a="1"/>
  <c r="AB4" i="1" s="1"/>
  <c r="AA3" i="1"/>
  <c r="AB3" i="1" s="1" a="1"/>
  <c r="AB3" i="1" s="1"/>
  <c r="AB2" i="1" a="1"/>
  <c r="AB2" i="1" s="1"/>
  <c r="AA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<sst xmlns="http://schemas.openxmlformats.org/spreadsheetml/2006/main" count="4669" uniqueCount="554">
  <si>
    <t>Employee_Name</t>
  </si>
  <si>
    <t>EmpID</t>
  </si>
  <si>
    <t>Salary</t>
  </si>
  <si>
    <t>Position</t>
  </si>
  <si>
    <t>State</t>
  </si>
  <si>
    <t>Zip</t>
  </si>
  <si>
    <t>DateofBirth</t>
  </si>
  <si>
    <t>Gender</t>
  </si>
  <si>
    <t>MaritalStatus</t>
  </si>
  <si>
    <t>CitizenDesc</t>
  </si>
  <si>
    <t>HispanicLatino</t>
  </si>
  <si>
    <t>RaceDesc</t>
  </si>
  <si>
    <t>DateofHire</t>
  </si>
  <si>
    <t>DateofTermination</t>
  </si>
  <si>
    <t>TermReason</t>
  </si>
  <si>
    <t>EmploymentStatus</t>
  </si>
  <si>
    <t>Department</t>
  </si>
  <si>
    <t>ManagerName</t>
  </si>
  <si>
    <t>RecruitmentSource</t>
  </si>
  <si>
    <t>PerformanceScore</t>
  </si>
  <si>
    <t>EngagementSurvey</t>
  </si>
  <si>
    <t>EmpSatisfaction</t>
  </si>
  <si>
    <t>SpecialProjectsCount</t>
  </si>
  <si>
    <t>LastPerformanceReview_Date</t>
  </si>
  <si>
    <t>DaysLateLast30</t>
  </si>
  <si>
    <t>Absences</t>
  </si>
  <si>
    <t>age</t>
  </si>
  <si>
    <t>Age group</t>
  </si>
  <si>
    <t>Adinolfi, Wilson  K</t>
  </si>
  <si>
    <t>Production Technician I</t>
  </si>
  <si>
    <t>MA</t>
  </si>
  <si>
    <t xml:space="preserve">M </t>
  </si>
  <si>
    <t>Single</t>
  </si>
  <si>
    <t>US Citizen</t>
  </si>
  <si>
    <t>No</t>
  </si>
  <si>
    <t>White</t>
  </si>
  <si>
    <t>N/A-StillEmployed</t>
  </si>
  <si>
    <t>Active</t>
  </si>
  <si>
    <t xml:space="preserve">Production       </t>
  </si>
  <si>
    <t>Michael Albert</t>
  </si>
  <si>
    <t>LinkedIn</t>
  </si>
  <si>
    <t>Exceeds</t>
  </si>
  <si>
    <t xml:space="preserve">Ait Sidi, Karthikeyan   </t>
  </si>
  <si>
    <t>Sr. DBA</t>
  </si>
  <si>
    <t>Married</t>
  </si>
  <si>
    <t>career change</t>
  </si>
  <si>
    <t>Voluntarily Terminated</t>
  </si>
  <si>
    <t>IT/IS</t>
  </si>
  <si>
    <t>Simon Roup</t>
  </si>
  <si>
    <t>Indeed</t>
  </si>
  <si>
    <t>Fully Meets</t>
  </si>
  <si>
    <t>Akinkuolie, Sarah</t>
  </si>
  <si>
    <t>Production Technician II</t>
  </si>
  <si>
    <t>F</t>
  </si>
  <si>
    <t>hours</t>
  </si>
  <si>
    <t>Kissy Sullivan</t>
  </si>
  <si>
    <t>Alagbe,Trina</t>
  </si>
  <si>
    <t>Elijiah Gray</t>
  </si>
  <si>
    <t xml:space="preserve">Anderson, Carol </t>
  </si>
  <si>
    <t>Divorced</t>
  </si>
  <si>
    <t>return to school</t>
  </si>
  <si>
    <t>Webster Butler</t>
  </si>
  <si>
    <t>Google Search</t>
  </si>
  <si>
    <t xml:space="preserve">Anderson, Linda  </t>
  </si>
  <si>
    <t>Amy Dunn</t>
  </si>
  <si>
    <t>Andreola, Colby</t>
  </si>
  <si>
    <t>Software Engineer</t>
  </si>
  <si>
    <t>Software Engineering</t>
  </si>
  <si>
    <t>Alex Sweetwater</t>
  </si>
  <si>
    <t>Athwal, Sam</t>
  </si>
  <si>
    <t>Widowed</t>
  </si>
  <si>
    <t>Ketsia Liebig</t>
  </si>
  <si>
    <t>Employee Referral</t>
  </si>
  <si>
    <t>Bachiochi, Linda</t>
  </si>
  <si>
    <t>Black or African American</t>
  </si>
  <si>
    <t>Brannon Miller</t>
  </si>
  <si>
    <t>Diversity Job Fair</t>
  </si>
  <si>
    <t xml:space="preserve">Bacong, Alejandro </t>
  </si>
  <si>
    <t>IT Support</t>
  </si>
  <si>
    <t>Peter Monroe</t>
  </si>
  <si>
    <t xml:space="preserve">Baczenski, Rachael  </t>
  </si>
  <si>
    <t>Yes</t>
  </si>
  <si>
    <t>Another position</t>
  </si>
  <si>
    <t>David Stanley</t>
  </si>
  <si>
    <t>Barbara, Thomas</t>
  </si>
  <si>
    <t>unhappy</t>
  </si>
  <si>
    <t>Barbossa, Hector</t>
  </si>
  <si>
    <t>Data Analyst</t>
  </si>
  <si>
    <t>TX</t>
  </si>
  <si>
    <t>Barone, Francesco  A</t>
  </si>
  <si>
    <t>Two or more races</t>
  </si>
  <si>
    <t>Kelley Spirea</t>
  </si>
  <si>
    <t>Barton, Nader</t>
  </si>
  <si>
    <t>On-line Web application</t>
  </si>
  <si>
    <t>Bates, Norman</t>
  </si>
  <si>
    <t>attendance</t>
  </si>
  <si>
    <t>Terminated for Cause</t>
  </si>
  <si>
    <t xml:space="preserve">Beak, Kimberly  </t>
  </si>
  <si>
    <t xml:space="preserve">Beatrice, Courtney </t>
  </si>
  <si>
    <t>Eligible NonCitizen</t>
  </si>
  <si>
    <t>Becker, Renee</t>
  </si>
  <si>
    <t>Database Administrator</t>
  </si>
  <si>
    <t>performance</t>
  </si>
  <si>
    <t>Becker, Scott</t>
  </si>
  <si>
    <t>Asian</t>
  </si>
  <si>
    <t>Bernstein, Sean</t>
  </si>
  <si>
    <t>Biden, Lowan  M</t>
  </si>
  <si>
    <t>Billis, Helen</t>
  </si>
  <si>
    <t>Blount, Dianna</t>
  </si>
  <si>
    <t>CareerBuilder</t>
  </si>
  <si>
    <t>Needs Improvement</t>
  </si>
  <si>
    <t>Bondwell, Betsy</t>
  </si>
  <si>
    <t>Booth, Frank</t>
  </si>
  <si>
    <t>Enterprise Architect</t>
  </si>
  <si>
    <t>CT</t>
  </si>
  <si>
    <t>Learned that he is a gangster</t>
  </si>
  <si>
    <t>Boutwell, Bonalyn</t>
  </si>
  <si>
    <t>Sr. Accountant</t>
  </si>
  <si>
    <t>Admin Offices</t>
  </si>
  <si>
    <t>Brandon R. LeBlanc</t>
  </si>
  <si>
    <t>Bozzi, Charles</t>
  </si>
  <si>
    <t>Production Manager</t>
  </si>
  <si>
    <t>retiring</t>
  </si>
  <si>
    <t>Janet King</t>
  </si>
  <si>
    <t>Brill, Donna</t>
  </si>
  <si>
    <t>Brown, Mia</t>
  </si>
  <si>
    <t>Accountant I</t>
  </si>
  <si>
    <t xml:space="preserve">Buccheri, Joseph  </t>
  </si>
  <si>
    <t xml:space="preserve">Bugali, Josephine </t>
  </si>
  <si>
    <t>Separated</t>
  </si>
  <si>
    <t>Bunbury, Jessica</t>
  </si>
  <si>
    <t>Area Sales Manager</t>
  </si>
  <si>
    <t>VA</t>
  </si>
  <si>
    <t>Sales</t>
  </si>
  <si>
    <t>John Smith</t>
  </si>
  <si>
    <t>Burke, Joelle</t>
  </si>
  <si>
    <t xml:space="preserve">Burkett, Benjamin </t>
  </si>
  <si>
    <t xml:space="preserve">Cady, Max </t>
  </si>
  <si>
    <t>Software Engineering Manager</t>
  </si>
  <si>
    <t>Jennifer Zamora</t>
  </si>
  <si>
    <t>Candie, Calvin</t>
  </si>
  <si>
    <t>Carabbio, Judith</t>
  </si>
  <si>
    <t xml:space="preserve">Carey, Michael  </t>
  </si>
  <si>
    <t>Carr, Claudia  N</t>
  </si>
  <si>
    <t xml:space="preserve">Carter, Michelle </t>
  </si>
  <si>
    <t>VT</t>
  </si>
  <si>
    <t xml:space="preserve">Chace, Beatrice </t>
  </si>
  <si>
    <t>Champaigne, Brian</t>
  </si>
  <si>
    <t>BI Director</t>
  </si>
  <si>
    <t>Chan, Lin</t>
  </si>
  <si>
    <t>Chang, Donovan  E</t>
  </si>
  <si>
    <t>Chigurh, Anton</t>
  </si>
  <si>
    <t>Lynn Daneault</t>
  </si>
  <si>
    <t>Chivukula, Enola</t>
  </si>
  <si>
    <t>relocation out of area</t>
  </si>
  <si>
    <t xml:space="preserve">Cierpiszewski, Caroline  </t>
  </si>
  <si>
    <t>Non-Citizen</t>
  </si>
  <si>
    <t>Clayton, Rick</t>
  </si>
  <si>
    <t>Eric Dougall</t>
  </si>
  <si>
    <t>Cloninger, Jennifer</t>
  </si>
  <si>
    <t>Close, Phil</t>
  </si>
  <si>
    <t>Clukey, Elijian</t>
  </si>
  <si>
    <t>Cockel, James</t>
  </si>
  <si>
    <t>Cole, Spencer</t>
  </si>
  <si>
    <t>Corleone, Michael</t>
  </si>
  <si>
    <t>Corleone, Vito</t>
  </si>
  <si>
    <t>Director of Operations</t>
  </si>
  <si>
    <t xml:space="preserve">Cornett, Lisa </t>
  </si>
  <si>
    <t>Costello, Frank</t>
  </si>
  <si>
    <t>Crimmings,   Jean</t>
  </si>
  <si>
    <t>Cross, Noah</t>
  </si>
  <si>
    <t>Sr. Network Engineer</t>
  </si>
  <si>
    <t>Daneault, Lynn</t>
  </si>
  <si>
    <t>Sales Manager</t>
  </si>
  <si>
    <t>Debra Houlihan</t>
  </si>
  <si>
    <t xml:space="preserve">Daniele, Ann  </t>
  </si>
  <si>
    <t xml:space="preserve">Darson, Jene'ya </t>
  </si>
  <si>
    <t>Davis, Daniel</t>
  </si>
  <si>
    <t>Dee, Randy</t>
  </si>
  <si>
    <t>DeGweck,  James</t>
  </si>
  <si>
    <t>Del Bosque, Keyla</t>
  </si>
  <si>
    <t>Delarge, Alex</t>
  </si>
  <si>
    <t>AL</t>
  </si>
  <si>
    <t>PIP</t>
  </si>
  <si>
    <t>Demita, Carla</t>
  </si>
  <si>
    <t>more money</t>
  </si>
  <si>
    <t xml:space="preserve">Desimone, Carl </t>
  </si>
  <si>
    <t>DeVito, Tommy</t>
  </si>
  <si>
    <t>BI Developer</t>
  </si>
  <si>
    <t>Brian Champaigne</t>
  </si>
  <si>
    <t xml:space="preserve">Dickinson, Geoff </t>
  </si>
  <si>
    <t xml:space="preserve">Dietrich, Jenna  </t>
  </si>
  <si>
    <t>WA</t>
  </si>
  <si>
    <t>Website</t>
  </si>
  <si>
    <t xml:space="preserve">DiNocco, Lily </t>
  </si>
  <si>
    <t>Dobrin, Denisa  S</t>
  </si>
  <si>
    <t>Dolan, Linda</t>
  </si>
  <si>
    <t>Dougall, Eric</t>
  </si>
  <si>
    <t>IT Manager - Support</t>
  </si>
  <si>
    <t>Driver, Elle</t>
  </si>
  <si>
    <t>CA</t>
  </si>
  <si>
    <t xml:space="preserve">Dunn, Amy  </t>
  </si>
  <si>
    <t>Dunne, Amy</t>
  </si>
  <si>
    <t>Eaton, Marianne</t>
  </si>
  <si>
    <t>military</t>
  </si>
  <si>
    <t>Engdahl, Jean</t>
  </si>
  <si>
    <t>England, Rex</t>
  </si>
  <si>
    <t>Erilus, Angela</t>
  </si>
  <si>
    <t>Estremera, Miguel</t>
  </si>
  <si>
    <t>Evensen, April</t>
  </si>
  <si>
    <t>no-call, no-show</t>
  </si>
  <si>
    <t>Exantus, Susan</t>
  </si>
  <si>
    <t xml:space="preserve">Faller, Megan </t>
  </si>
  <si>
    <t>Fancett, Nicole</t>
  </si>
  <si>
    <t>Ferguson, Susan</t>
  </si>
  <si>
    <t xml:space="preserve">Fernandes, Nilson  </t>
  </si>
  <si>
    <t>Fett, Boba</t>
  </si>
  <si>
    <t>Network Engineer</t>
  </si>
  <si>
    <t>Fidelia,  Libby</t>
  </si>
  <si>
    <t>Fitzpatrick, Michael  J</t>
  </si>
  <si>
    <t>Foreman, Tanya</t>
  </si>
  <si>
    <t>Forrest, Alex</t>
  </si>
  <si>
    <t>Fatal attraction</t>
  </si>
  <si>
    <t>Foss, Jason</t>
  </si>
  <si>
    <t>IT Director</t>
  </si>
  <si>
    <t>Foster-Baker, Amy</t>
  </si>
  <si>
    <t>no</t>
  </si>
  <si>
    <t>Board of Directors</t>
  </si>
  <si>
    <t>Other</t>
  </si>
  <si>
    <t xml:space="preserve">Fraval, Maruk </t>
  </si>
  <si>
    <t>Galia, Lisa</t>
  </si>
  <si>
    <t>Garcia, Raul</t>
  </si>
  <si>
    <t>Gaul, Barbara</t>
  </si>
  <si>
    <t>Gentry, Mildred</t>
  </si>
  <si>
    <t>Gerke, Melisa</t>
  </si>
  <si>
    <t xml:space="preserve">Gill, Whitney  </t>
  </si>
  <si>
    <t>OH</t>
  </si>
  <si>
    <t>Gilles, Alex</t>
  </si>
  <si>
    <t>Girifalco, Evelyn</t>
  </si>
  <si>
    <t>Givens, Myriam</t>
  </si>
  <si>
    <t>IN</t>
  </si>
  <si>
    <t>Goble, Taisha</t>
  </si>
  <si>
    <t>Goeth, Amon</t>
  </si>
  <si>
    <t xml:space="preserve">Gold, Shenice  </t>
  </si>
  <si>
    <t>Gonzalez, Cayo</t>
  </si>
  <si>
    <t>Gonzalez, Juan</t>
  </si>
  <si>
    <t>Gonzalez, Maria</t>
  </si>
  <si>
    <t>Good, Susan</t>
  </si>
  <si>
    <t>Gordon, David</t>
  </si>
  <si>
    <t xml:space="preserve">Gosciminski, Phylicia  </t>
  </si>
  <si>
    <t>American Indian or Alaska Native</t>
  </si>
  <si>
    <t>Goyal, Roxana</t>
  </si>
  <si>
    <t xml:space="preserve">Gray, Elijiah  </t>
  </si>
  <si>
    <t>Gross, Paula</t>
  </si>
  <si>
    <t>Gruber, Hans</t>
  </si>
  <si>
    <t>Guilianno, Mike</t>
  </si>
  <si>
    <t>TN</t>
  </si>
  <si>
    <t>Handschiegl, Joanne</t>
  </si>
  <si>
    <t>Hankard, Earnest</t>
  </si>
  <si>
    <t xml:space="preserve">Harrington, Christie </t>
  </si>
  <si>
    <t>Harrison, Kara</t>
  </si>
  <si>
    <t>Heitzman, Anthony</t>
  </si>
  <si>
    <t>Hendrickson, Trina</t>
  </si>
  <si>
    <t>Hitchcock, Alfred</t>
  </si>
  <si>
    <t>NH</t>
  </si>
  <si>
    <t>Homberger, Adrienne  J</t>
  </si>
  <si>
    <t>Horton, Jayne</t>
  </si>
  <si>
    <t>Houlihan, Debra</t>
  </si>
  <si>
    <t>Director of Sales</t>
  </si>
  <si>
    <t>RI</t>
  </si>
  <si>
    <t>Howard, Estelle</t>
  </si>
  <si>
    <t>Administrative Assistant</t>
  </si>
  <si>
    <t>Hudson, Jane</t>
  </si>
  <si>
    <t>Hunts, Julissa</t>
  </si>
  <si>
    <t>Hutter, Rosalie</t>
  </si>
  <si>
    <t>Huynh, Ming</t>
  </si>
  <si>
    <t>Immediato, Walter</t>
  </si>
  <si>
    <t xml:space="preserve">Ivey, Rose </t>
  </si>
  <si>
    <t>Jackson, Maryellen</t>
  </si>
  <si>
    <t xml:space="preserve">Jacobi, Hannah  </t>
  </si>
  <si>
    <t>Jeannite, Tayana</t>
  </si>
  <si>
    <t xml:space="preserve">Jhaveri, Sneha  </t>
  </si>
  <si>
    <t>Johnson, George</t>
  </si>
  <si>
    <t xml:space="preserve">Johnson, Noelle </t>
  </si>
  <si>
    <t>Johnston, Yen</t>
  </si>
  <si>
    <t xml:space="preserve">Jung, Judy  </t>
  </si>
  <si>
    <t>Kampew, Donysha</t>
  </si>
  <si>
    <t>PA</t>
  </si>
  <si>
    <t>maternity leave - did not return</t>
  </si>
  <si>
    <t xml:space="preserve">Keatts, Kramer </t>
  </si>
  <si>
    <t>Khemmich, Bartholemew</t>
  </si>
  <si>
    <t>CO</t>
  </si>
  <si>
    <t>King, Janet</t>
  </si>
  <si>
    <t>President &amp; CEO</t>
  </si>
  <si>
    <t>Executive Office</t>
  </si>
  <si>
    <t xml:space="preserve">Kinsella, Kathleen  </t>
  </si>
  <si>
    <t xml:space="preserve">Kirill, Alexandra  </t>
  </si>
  <si>
    <t>Knapp, Bradley  J</t>
  </si>
  <si>
    <t>Kretschmer, John</t>
  </si>
  <si>
    <t>Kreuger, Freddy</t>
  </si>
  <si>
    <t>NY</t>
  </si>
  <si>
    <t>Lajiri,  Jyoti</t>
  </si>
  <si>
    <t>Landa, Hans</t>
  </si>
  <si>
    <t>Langford, Lindsey</t>
  </si>
  <si>
    <t>Langton, Enrico</t>
  </si>
  <si>
    <t xml:space="preserve">LaRotonda, William  </t>
  </si>
  <si>
    <t>Latif, Mohammed</t>
  </si>
  <si>
    <t>Le, Binh</t>
  </si>
  <si>
    <t>Senior BI Developer</t>
  </si>
  <si>
    <t>Leach, Dallas</t>
  </si>
  <si>
    <t>LeBlanc, Brandon  R</t>
  </si>
  <si>
    <t>Shared Services Manager</t>
  </si>
  <si>
    <t>Lecter, Hannibal</t>
  </si>
  <si>
    <t>Leruth, Giovanni</t>
  </si>
  <si>
    <t>UT</t>
  </si>
  <si>
    <t>Liebig, Ketsia</t>
  </si>
  <si>
    <t xml:space="preserve">Linares, Marilyn </t>
  </si>
  <si>
    <t>Linden, Mathew</t>
  </si>
  <si>
    <t xml:space="preserve">Lindsay, Leonara </t>
  </si>
  <si>
    <t>Lundy, Susan</t>
  </si>
  <si>
    <t>Lunquist, Lisa</t>
  </si>
  <si>
    <t>Lydon, Allison</t>
  </si>
  <si>
    <t>Lynch, Lindsay</t>
  </si>
  <si>
    <t>MacLennan, Samuel</t>
  </si>
  <si>
    <t xml:space="preserve">Mahoney, Lauren  </t>
  </si>
  <si>
    <t>Manchester, Robyn</t>
  </si>
  <si>
    <t>Mancuso, Karen</t>
  </si>
  <si>
    <t>Mangal, Debbie</t>
  </si>
  <si>
    <t>Martin, Sandra</t>
  </si>
  <si>
    <t>Maurice, Shana</t>
  </si>
  <si>
    <t>Carthy, B'rigit</t>
  </si>
  <si>
    <t>Mckenna, Sandy</t>
  </si>
  <si>
    <t>McKinzie, Jac</t>
  </si>
  <si>
    <t>Meads, Elizabeth</t>
  </si>
  <si>
    <t>Medeiros, Jennifer</t>
  </si>
  <si>
    <t>Miller, Brannon</t>
  </si>
  <si>
    <t>yes</t>
  </si>
  <si>
    <t>Hispanic</t>
  </si>
  <si>
    <t>Miller, Ned</t>
  </si>
  <si>
    <t>Monkfish, Erasumus</t>
  </si>
  <si>
    <t>Monroe, Peter</t>
  </si>
  <si>
    <t>IT Manager - Infra</t>
  </si>
  <si>
    <t>Monterro, Luisa</t>
  </si>
  <si>
    <t>Moran, Patrick</t>
  </si>
  <si>
    <t>Morway, Tanya</t>
  </si>
  <si>
    <t>Motlagh,  Dawn</t>
  </si>
  <si>
    <t xml:space="preserve">Moumanil, Maliki </t>
  </si>
  <si>
    <t>Myers, Michael</t>
  </si>
  <si>
    <t>Navathe, Kurt</t>
  </si>
  <si>
    <t>Ndzi, Colombui</t>
  </si>
  <si>
    <t>Ndzi, Horia</t>
  </si>
  <si>
    <t xml:space="preserve">Newman, Richard </t>
  </si>
  <si>
    <t xml:space="preserve">Ngodup, Shari </t>
  </si>
  <si>
    <t>Nguyen, Dheepa</t>
  </si>
  <si>
    <t>GA</t>
  </si>
  <si>
    <t>Nguyen, Lei-Ming</t>
  </si>
  <si>
    <t>Nowlan, Kristie</t>
  </si>
  <si>
    <t>O'hare, Lynn</t>
  </si>
  <si>
    <t xml:space="preserve">Oliver, Brooke </t>
  </si>
  <si>
    <t>Onque, Jasmine</t>
  </si>
  <si>
    <t>FL</t>
  </si>
  <si>
    <t>Osturnka, Adeel</t>
  </si>
  <si>
    <t>Owad, Clinton</t>
  </si>
  <si>
    <t>Ozark, Travis</t>
  </si>
  <si>
    <t>NC</t>
  </si>
  <si>
    <t>Panjwani, Nina</t>
  </si>
  <si>
    <t>Patronick, Lucas</t>
  </si>
  <si>
    <t>Pearson, Randall</t>
  </si>
  <si>
    <t>Smith, Martin</t>
  </si>
  <si>
    <t>Pelletier, Ermine</t>
  </si>
  <si>
    <t>Perry, Shakira</t>
  </si>
  <si>
    <t>medical issues</t>
  </si>
  <si>
    <t>Peters, Lauren</t>
  </si>
  <si>
    <t xml:space="preserve">Peterson, Ebonee  </t>
  </si>
  <si>
    <t xml:space="preserve">Petingill, Shana  </t>
  </si>
  <si>
    <t>Petrowsky, Thelma</t>
  </si>
  <si>
    <t>Pham, Hong</t>
  </si>
  <si>
    <t xml:space="preserve">Pitt, Brad </t>
  </si>
  <si>
    <t>Potts, Xana</t>
  </si>
  <si>
    <t>KY</t>
  </si>
  <si>
    <t>Power, Morissa</t>
  </si>
  <si>
    <t xml:space="preserve">Punjabhi, Louis  </t>
  </si>
  <si>
    <t>Purinton, Janine</t>
  </si>
  <si>
    <t>Quinn, Sean</t>
  </si>
  <si>
    <t>Rachael, Maggie</t>
  </si>
  <si>
    <t>Rarrick, Quinn</t>
  </si>
  <si>
    <t>Ren, Kylo</t>
  </si>
  <si>
    <t>ID</t>
  </si>
  <si>
    <t>Rhoads, Thomas</t>
  </si>
  <si>
    <t xml:space="preserve">Rivera, Haley  </t>
  </si>
  <si>
    <t>Roberson, May</t>
  </si>
  <si>
    <t>Robertson, Peter</t>
  </si>
  <si>
    <t xml:space="preserve">Robinson, Alain  </t>
  </si>
  <si>
    <t>Robinson, Cherly</t>
  </si>
  <si>
    <t>Robinson, Elias</t>
  </si>
  <si>
    <t xml:space="preserve">Roby, Lori </t>
  </si>
  <si>
    <t>Roehrich, Bianca</t>
  </si>
  <si>
    <t>Principal Data Architect</t>
  </si>
  <si>
    <t>Roper, Katie</t>
  </si>
  <si>
    <t>Data Architect</t>
  </si>
  <si>
    <t xml:space="preserve">Rose, Ashley  </t>
  </si>
  <si>
    <t>Rossetti, Bruno</t>
  </si>
  <si>
    <t>Roup,Simon</t>
  </si>
  <si>
    <t>IT Manager - DB</t>
  </si>
  <si>
    <t>Ruiz, Ricardo</t>
  </si>
  <si>
    <t>Saada, Adell</t>
  </si>
  <si>
    <t>Saar-Beckles, Melinda</t>
  </si>
  <si>
    <t xml:space="preserve">Sadki, Nore  </t>
  </si>
  <si>
    <t>Sahoo, Adil</t>
  </si>
  <si>
    <t>Salter, Jason</t>
  </si>
  <si>
    <t xml:space="preserve">Data Analyst </t>
  </si>
  <si>
    <t>Sander, Kamrin</t>
  </si>
  <si>
    <t>Sewkumar, Nori</t>
  </si>
  <si>
    <t xml:space="preserve">Shepard, Anita </t>
  </si>
  <si>
    <t>Shields, Seffi</t>
  </si>
  <si>
    <t>Simard, Kramer</t>
  </si>
  <si>
    <t xml:space="preserve">Singh, Nan </t>
  </si>
  <si>
    <t>Sloan, Constance</t>
  </si>
  <si>
    <t>Smith, Joe</t>
  </si>
  <si>
    <t>Smith, John</t>
  </si>
  <si>
    <t>Smith, Leigh Ann</t>
  </si>
  <si>
    <t>Smith, Sade</t>
  </si>
  <si>
    <t xml:space="preserve">Soto, Julia </t>
  </si>
  <si>
    <t>Soze, Keyser</t>
  </si>
  <si>
    <t xml:space="preserve">Sparks, Taylor  </t>
  </si>
  <si>
    <t>Spirea, Kelley</t>
  </si>
  <si>
    <t>Squatrito, Kristen</t>
  </si>
  <si>
    <t>Stanford,Barbara  M</t>
  </si>
  <si>
    <t>Stansfield, Norman</t>
  </si>
  <si>
    <t>NV</t>
  </si>
  <si>
    <t xml:space="preserve">Steans, Tyrone  </t>
  </si>
  <si>
    <t>Stoica, Rick</t>
  </si>
  <si>
    <t>Strong, Caitrin</t>
  </si>
  <si>
    <t>MT</t>
  </si>
  <si>
    <t xml:space="preserve">Sullivan, Kissy </t>
  </si>
  <si>
    <t>Sullivan, Timothy</t>
  </si>
  <si>
    <t>Sutwell, Barbara</t>
  </si>
  <si>
    <t>Szabo, Andrew</t>
  </si>
  <si>
    <t>Tannen, Biff</t>
  </si>
  <si>
    <t xml:space="preserve">Tavares, Desiree  </t>
  </si>
  <si>
    <t xml:space="preserve">Tejeda, Lenora </t>
  </si>
  <si>
    <t xml:space="preserve">Terry, Sharlene </t>
  </si>
  <si>
    <t>OR</t>
  </si>
  <si>
    <t>Theamstern, Sophia</t>
  </si>
  <si>
    <t>Thibaud, Kenneth</t>
  </si>
  <si>
    <t>Tippett, Jeanette</t>
  </si>
  <si>
    <t>Torrence, Jack</t>
  </si>
  <si>
    <t>ND</t>
  </si>
  <si>
    <t>Trang, Mei</t>
  </si>
  <si>
    <t xml:space="preserve">Tredinnick, Neville </t>
  </si>
  <si>
    <t>True, Edward</t>
  </si>
  <si>
    <t>Trzeciak, Cybil</t>
  </si>
  <si>
    <t>Turpin, Jumil</t>
  </si>
  <si>
    <t>Valentin,Jackie</t>
  </si>
  <si>
    <t>AZ</t>
  </si>
  <si>
    <t xml:space="preserve">Veera, Abdellah </t>
  </si>
  <si>
    <t>Vega, Vincent</t>
  </si>
  <si>
    <t>Villanueva, Noah</t>
  </si>
  <si>
    <t>ME</t>
  </si>
  <si>
    <t>Voldemort, Lord</t>
  </si>
  <si>
    <t>Volk, Colleen</t>
  </si>
  <si>
    <t>gross misconduct</t>
  </si>
  <si>
    <t>Von Massenbach, Anna</t>
  </si>
  <si>
    <t>Walker, Roger</t>
  </si>
  <si>
    <t>Wallace, Courtney  E</t>
  </si>
  <si>
    <t>Wallace, Theresa</t>
  </si>
  <si>
    <t>Wang, Charlie</t>
  </si>
  <si>
    <t>Warfield, Sarah</t>
  </si>
  <si>
    <t>Whittier, Scott</t>
  </si>
  <si>
    <t>Wilber, Barry</t>
  </si>
  <si>
    <t>Wilkes, Annie</t>
  </si>
  <si>
    <t xml:space="preserve">Williams, Jacquelyn  </t>
  </si>
  <si>
    <t xml:space="preserve">Winthrop, Jordan  </t>
  </si>
  <si>
    <t>Wolk, Hang  T</t>
  </si>
  <si>
    <t>Woodson, Jason</t>
  </si>
  <si>
    <t xml:space="preserve">Ybarra, Catherine </t>
  </si>
  <si>
    <t>Zamora, Jennifer</t>
  </si>
  <si>
    <t>CIO</t>
  </si>
  <si>
    <t>Zhou, Julia</t>
  </si>
  <si>
    <t>Zima, Colleen</t>
  </si>
  <si>
    <t>Questions</t>
  </si>
  <si>
    <t>Row Labels</t>
  </si>
  <si>
    <t>Grand Total</t>
  </si>
  <si>
    <t>Count of Employee_Name</t>
  </si>
  <si>
    <t>How many employees are male and female?</t>
  </si>
  <si>
    <r>
      <t xml:space="preserve">How many employees belong to each </t>
    </r>
    <r>
      <rPr>
        <b/>
        <sz val="11"/>
        <color theme="1"/>
        <rFont val="Arial"/>
        <family val="2"/>
        <scheme val="minor"/>
      </rPr>
      <t>marital status</t>
    </r>
    <r>
      <rPr>
        <sz val="11"/>
        <color theme="1"/>
        <rFont val="Arial"/>
        <family val="2"/>
        <scheme val="minor"/>
      </rPr>
      <t>?</t>
    </r>
  </si>
  <si>
    <r>
      <t xml:space="preserve">What is the </t>
    </r>
    <r>
      <rPr>
        <b/>
        <sz val="11"/>
        <color theme="1"/>
        <rFont val="Arial"/>
        <family val="2"/>
        <scheme val="minor"/>
      </rPr>
      <t>distribution of employees by race</t>
    </r>
    <r>
      <rPr>
        <sz val="11"/>
        <color theme="1"/>
        <rFont val="Arial"/>
        <family val="2"/>
        <scheme val="minor"/>
      </rPr>
      <t>?</t>
    </r>
  </si>
  <si>
    <r>
      <t xml:space="preserve">How many employees fall into each </t>
    </r>
    <r>
      <rPr>
        <b/>
        <sz val="11"/>
        <color theme="1"/>
        <rFont val="Arial"/>
        <family val="2"/>
        <scheme val="minor"/>
      </rPr>
      <t>age group</t>
    </r>
    <r>
      <rPr>
        <sz val="11"/>
        <color theme="1"/>
        <rFont val="Arial"/>
        <family val="2"/>
        <scheme val="minor"/>
      </rPr>
      <t>?</t>
    </r>
  </si>
  <si>
    <r>
      <t xml:space="preserve">How many employees belong to each </t>
    </r>
    <r>
      <rPr>
        <b/>
        <sz val="11"/>
        <color theme="1"/>
        <rFont val="Arial"/>
        <family val="2"/>
        <scheme val="minor"/>
      </rPr>
      <t>citizenship description</t>
    </r>
    <r>
      <rPr>
        <sz val="11"/>
        <color theme="1"/>
        <rFont val="Arial"/>
        <family val="2"/>
        <scheme val="minor"/>
      </rPr>
      <t>?</t>
    </r>
  </si>
  <si>
    <t>21-30</t>
  </si>
  <si>
    <t>31-40</t>
  </si>
  <si>
    <t>41-50</t>
  </si>
  <si>
    <t>51-60</t>
  </si>
  <si>
    <t>60+</t>
  </si>
  <si>
    <t xml:space="preserve"> 2.marital status</t>
  </si>
  <si>
    <t>1.count of male and female</t>
  </si>
  <si>
    <r>
      <t xml:space="preserve">How many employees belong to ma </t>
    </r>
    <r>
      <rPr>
        <b/>
        <sz val="11"/>
        <color theme="1"/>
        <rFont val="Arial"/>
        <family val="2"/>
        <scheme val="minor"/>
      </rPr>
      <t>state and other</t>
    </r>
    <r>
      <rPr>
        <sz val="11"/>
        <color theme="1"/>
        <rFont val="Arial"/>
        <family val="2"/>
        <scheme val="minor"/>
      </rPr>
      <t>?</t>
    </r>
  </si>
  <si>
    <t>other</t>
  </si>
  <si>
    <t>3. distribution of employee race</t>
  </si>
  <si>
    <t>4.age group</t>
  </si>
  <si>
    <t xml:space="preserve"> 5.How many employees belong to ma state and other?</t>
  </si>
  <si>
    <t>6 How many employees belong to each citizenship description?</t>
  </si>
  <si>
    <t>What is the average salary by department?</t>
  </si>
  <si>
    <t>Salary &amp; Compensation</t>
  </si>
  <si>
    <t>Average of Salary</t>
  </si>
  <si>
    <t xml:space="preserve">lowest salry </t>
  </si>
  <si>
    <t>higest salary</t>
  </si>
  <si>
    <t>2 What is the average salary by position top5?</t>
  </si>
  <si>
    <t>3 What is the highest and lowest salary in the company?</t>
  </si>
  <si>
    <t>What is the average salary of males vs females or average salary  with help of depatement ?</t>
  </si>
  <si>
    <t>5 What is the average salary in each age group?</t>
  </si>
  <si>
    <t>6.What is the average salary by state?</t>
  </si>
  <si>
    <r>
      <t xml:space="preserve">1. How many employees are in each </t>
    </r>
    <r>
      <rPr>
        <b/>
        <sz val="11"/>
        <color theme="1"/>
        <rFont val="Arial"/>
        <family val="2"/>
        <scheme val="minor"/>
      </rPr>
      <t>department</t>
    </r>
    <r>
      <rPr>
        <sz val="11"/>
        <color theme="1"/>
        <rFont val="Arial"/>
        <family val="2"/>
        <scheme val="minor"/>
      </rPr>
      <t>?</t>
    </r>
  </si>
  <si>
    <r>
      <t xml:space="preserve">2. How many employees are in each </t>
    </r>
    <r>
      <rPr>
        <b/>
        <sz val="11"/>
        <color theme="1"/>
        <rFont val="Arial"/>
        <family val="2"/>
        <scheme val="minor"/>
      </rPr>
      <t>job position</t>
    </r>
    <r>
      <rPr>
        <sz val="11"/>
        <color theme="1"/>
        <rFont val="Arial"/>
        <family val="2"/>
        <scheme val="minor"/>
      </rPr>
      <t>?</t>
    </r>
  </si>
  <si>
    <t>Recruitment</t>
  </si>
  <si>
    <t>1. How many employees are in each department?</t>
  </si>
  <si>
    <t>2. How many employees are in each job position?</t>
  </si>
  <si>
    <t>Group1</t>
  </si>
  <si>
    <t>Group2</t>
  </si>
  <si>
    <t>lowest count</t>
  </si>
  <si>
    <r>
      <t xml:space="preserve">3. Which department has the </t>
    </r>
    <r>
      <rPr>
        <b/>
        <sz val="11"/>
        <color theme="1"/>
        <rFont val="Arial"/>
        <family val="2"/>
        <scheme val="minor"/>
      </rPr>
      <t xml:space="preserve"> employees</t>
    </r>
    <r>
      <rPr>
        <sz val="11"/>
        <color theme="1"/>
        <rFont val="Arial"/>
        <family val="2"/>
        <scheme val="minor"/>
      </rPr>
      <t>?</t>
    </r>
  </si>
  <si>
    <r>
      <t xml:space="preserve">4 How many employees were recruited from each </t>
    </r>
    <r>
      <rPr>
        <b/>
        <sz val="11"/>
        <color theme="1"/>
        <rFont val="Arial"/>
        <family val="2"/>
        <scheme val="minor"/>
      </rPr>
      <t>recruitment source</t>
    </r>
    <r>
      <rPr>
        <sz val="11"/>
        <color theme="1"/>
        <rFont val="Arial"/>
        <family val="2"/>
        <scheme val="minor"/>
      </rPr>
      <t>?</t>
    </r>
  </si>
  <si>
    <r>
      <t xml:space="preserve">5. Which recruitment source hired the </t>
    </r>
    <r>
      <rPr>
        <b/>
        <sz val="11"/>
        <color theme="1"/>
        <rFont val="Arial"/>
        <family val="2"/>
        <scheme val="minor"/>
      </rPr>
      <t>most employees</t>
    </r>
    <r>
      <rPr>
        <sz val="11"/>
        <color theme="1"/>
        <rFont val="Arial"/>
        <family val="2"/>
        <scheme val="minor"/>
      </rPr>
      <t>?</t>
    </r>
  </si>
  <si>
    <t>4 How many employees were recruited from each recruitment source?</t>
  </si>
  <si>
    <t>5. Which recruitment source hired the most employees?</t>
  </si>
  <si>
    <t>Performance &amp; Productivity</t>
  </si>
  <si>
    <r>
      <t xml:space="preserve">6. How many employees are in each </t>
    </r>
    <r>
      <rPr>
        <b/>
        <sz val="11"/>
        <color theme="1"/>
        <rFont val="Arial"/>
        <family val="2"/>
        <scheme val="minor"/>
      </rPr>
      <t>performance score category</t>
    </r>
    <r>
      <rPr>
        <sz val="11"/>
        <color theme="1"/>
        <rFont val="Arial"/>
        <family val="2"/>
        <scheme val="minor"/>
      </rPr>
      <t>?</t>
    </r>
  </si>
  <si>
    <r>
      <t xml:space="preserve">7. What is the </t>
    </r>
    <r>
      <rPr>
        <b/>
        <sz val="11"/>
        <color theme="1"/>
        <rFont val="Arial"/>
        <family val="2"/>
        <scheme val="minor"/>
      </rPr>
      <t>average engagement survey score by department</t>
    </r>
    <r>
      <rPr>
        <sz val="11"/>
        <color theme="1"/>
        <rFont val="Arial"/>
        <family val="2"/>
        <scheme val="minor"/>
      </rPr>
      <t>?</t>
    </r>
  </si>
  <si>
    <r>
      <t xml:space="preserve">8 What is the </t>
    </r>
    <r>
      <rPr>
        <b/>
        <sz val="11"/>
        <color theme="1"/>
        <rFont val="Arial"/>
        <family val="2"/>
        <scheme val="minor"/>
      </rPr>
      <t>average satisfaction score by department</t>
    </r>
    <r>
      <rPr>
        <sz val="11"/>
        <color theme="1"/>
        <rFont val="Arial"/>
        <family val="2"/>
        <scheme val="minor"/>
      </rPr>
      <t>?</t>
    </r>
  </si>
  <si>
    <r>
      <t xml:space="preserve">9. How many employees have worked on </t>
    </r>
    <r>
      <rPr>
        <b/>
        <sz val="11"/>
        <color theme="1"/>
        <rFont val="Arial"/>
        <family val="2"/>
        <scheme val="minor"/>
      </rPr>
      <t>special projects (count &gt; 0)</t>
    </r>
    <r>
      <rPr>
        <sz val="11"/>
        <color theme="1"/>
        <rFont val="Arial"/>
        <family val="2"/>
        <scheme val="minor"/>
      </rPr>
      <t>?</t>
    </r>
  </si>
  <si>
    <r>
      <t xml:space="preserve">10. What is the </t>
    </r>
    <r>
      <rPr>
        <b/>
        <sz val="11"/>
        <color theme="1"/>
        <rFont val="Arial"/>
        <family val="2"/>
        <scheme val="minor"/>
      </rPr>
      <t>average number of special projects by department</t>
    </r>
    <r>
      <rPr>
        <sz val="11"/>
        <color theme="1"/>
        <rFont val="Arial"/>
        <family val="2"/>
        <scheme val="minor"/>
      </rPr>
      <t>?</t>
    </r>
  </si>
  <si>
    <t>Average of EngagementSurvey</t>
  </si>
  <si>
    <t>Average of EmpSatisfaction</t>
  </si>
  <si>
    <t>10. What is the average number of special projects by department?</t>
  </si>
  <si>
    <t>Teminations status</t>
  </si>
  <si>
    <r>
      <t xml:space="preserve">7. How many employees were </t>
    </r>
    <r>
      <rPr>
        <b/>
        <sz val="11"/>
        <color theme="1"/>
        <rFont val="Arial"/>
        <family val="2"/>
        <scheme val="minor"/>
      </rPr>
      <t>voluntarily terminated</t>
    </r>
    <r>
      <rPr>
        <sz val="11"/>
        <color theme="1"/>
        <rFont val="Arial"/>
        <family val="2"/>
        <scheme val="minor"/>
      </rPr>
      <t>?</t>
    </r>
  </si>
  <si>
    <r>
      <t xml:space="preserve">8. How many employees are in each </t>
    </r>
    <r>
      <rPr>
        <b/>
        <sz val="11"/>
        <color theme="1"/>
        <rFont val="Arial"/>
        <family val="2"/>
        <scheme val="minor"/>
      </rPr>
      <t>employee status</t>
    </r>
    <r>
      <rPr>
        <sz val="11"/>
        <color theme="1"/>
        <rFont val="Arial"/>
        <family val="2"/>
        <scheme val="minor"/>
      </rPr>
      <t xml:space="preserve"> (active, terminated, etc.)?</t>
    </r>
  </si>
  <si>
    <t>Attendance &amp; Absenteeism</t>
  </si>
  <si>
    <t>1What is the average salary by department?</t>
  </si>
  <si>
    <t>2What is the average salary by position  top5?</t>
  </si>
  <si>
    <t xml:space="preserve"> 3What is the highest and lowest salary in the company?</t>
  </si>
  <si>
    <t>4 What is the average salary of males vs females?</t>
  </si>
  <si>
    <t>5.What is the average salary in each age group?</t>
  </si>
  <si>
    <r>
      <t xml:space="preserve">7. What is the </t>
    </r>
    <r>
      <rPr>
        <b/>
        <sz val="11"/>
        <color theme="1"/>
        <rFont val="Arial"/>
        <family val="2"/>
        <scheme val="minor"/>
      </rPr>
      <t>average number of absences by department</t>
    </r>
    <r>
      <rPr>
        <sz val="11"/>
        <color theme="1"/>
        <rFont val="Arial"/>
        <family val="2"/>
        <scheme val="minor"/>
      </rPr>
      <t>?</t>
    </r>
  </si>
  <si>
    <r>
      <t xml:space="preserve">8. What is the </t>
    </r>
    <r>
      <rPr>
        <b/>
        <sz val="11"/>
        <color theme="1"/>
        <rFont val="Arial"/>
        <family val="2"/>
        <scheme val="minor"/>
      </rPr>
      <t>average number of absences by age group</t>
    </r>
    <r>
      <rPr>
        <sz val="11"/>
        <color theme="1"/>
        <rFont val="Arial"/>
        <family val="2"/>
        <scheme val="minor"/>
      </rPr>
      <t>?</t>
    </r>
  </si>
  <si>
    <r>
      <t xml:space="preserve">9. How many employees had </t>
    </r>
    <r>
      <rPr>
        <b/>
        <sz val="11"/>
        <color theme="1"/>
        <rFont val="Arial"/>
        <family val="2"/>
        <scheme val="minor"/>
      </rPr>
      <t>zero absences</t>
    </r>
    <r>
      <rPr>
        <sz val="11"/>
        <color theme="1"/>
        <rFont val="Arial"/>
        <family val="2"/>
        <scheme val="minor"/>
      </rPr>
      <t>?</t>
    </r>
  </si>
  <si>
    <r>
      <t xml:space="preserve">10. How many employees had </t>
    </r>
    <r>
      <rPr>
        <b/>
        <sz val="11"/>
        <color theme="1"/>
        <rFont val="Arial"/>
        <family val="2"/>
        <scheme val="minor"/>
      </rPr>
      <t>days late in the last 30 days &gt; 0</t>
    </r>
    <r>
      <rPr>
        <sz val="11"/>
        <color theme="1"/>
        <rFont val="Arial"/>
        <family val="2"/>
        <scheme val="minor"/>
      </rPr>
      <t>?</t>
    </r>
  </si>
  <si>
    <t>Average of Absences</t>
  </si>
  <si>
    <t>3. Which department has the most  employees?</t>
  </si>
  <si>
    <t>Average of SpecialProjectsCount</t>
  </si>
  <si>
    <t>Count of Salary</t>
  </si>
  <si>
    <r>
      <t xml:space="preserve">                       </t>
    </r>
    <r>
      <rPr>
        <b/>
        <sz val="72"/>
        <color theme="1"/>
        <rFont val="SimSun-ExtB"/>
        <family val="3"/>
      </rPr>
      <t>Salary Anaylysis  Dashboard</t>
    </r>
  </si>
  <si>
    <t>Workforce Insight</t>
  </si>
  <si>
    <r>
      <t xml:space="preserve">                                                                                                                                                                                                                                                                                                                                                      </t>
    </r>
    <r>
      <rPr>
        <b/>
        <sz val="72"/>
        <color theme="0" tint="-0.249977111117893"/>
        <rFont val="Arial Rounded MT Bold"/>
        <family val="2"/>
      </rPr>
      <t xml:space="preserve"> Employee Demographic Dasbord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</si>
</sst>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7">
    <font>
      <sz val="11"/>
      <color theme="1"/>
      <name val="Arial"/>
      <family val="2"/>
      <scheme val="minor"/>
    </font>
    <font>
      <b/>
      <sz val="11"/>
      <color theme="1"/>
      <name val="Arial"/>
      <family val="2"/>
      <scheme val="minor"/>
    </font>
    <font>
      <b/>
      <sz val="11"/>
      <color theme="1"/>
      <name val="Twentieth Century"/>
    </font>
    <font>
      <sz val="11"/>
      <color theme="1"/>
      <name val="Twentieth Century"/>
    </font>
    <font>
      <b/>
      <sz val="13.5"/>
      <color theme="1"/>
      <name val="Arial"/>
      <family val="2"/>
      <scheme val="minor"/>
    </font>
    <font>
      <b/>
      <sz val="14"/>
      <color theme="1"/>
      <name val="Arial"/>
      <family val="2"/>
      <scheme val="minor"/>
    </font>
    <font>
      <b/>
      <sz val="12"/>
      <color theme="1"/>
      <name val="Arial"/>
      <family val="2"/>
      <scheme val="minor"/>
    </font>
    <font>
      <b/>
      <sz val="36"/>
      <color theme="1"/>
      <name val="MS UI Gothic"/>
      <family val="2"/>
    </font>
    <font>
      <sz val="72"/>
      <color theme="1"/>
      <name val="SimSun-ExtB"/>
      <family val="3"/>
    </font>
    <font>
      <b/>
      <sz val="72"/>
      <color theme="1"/>
      <name val="SimSun-ExtB"/>
      <family val="3"/>
    </font>
    <font>
      <sz val="11"/>
      <color rgb="FFFF0000"/>
      <name val="Arial"/>
      <family val="2"/>
      <scheme val="minor"/>
    </font>
    <font>
      <b/>
      <sz val="48"/>
      <color theme="1"/>
      <name val="Arial"/>
      <family val="2"/>
      <scheme val="minor"/>
    </font>
    <font>
      <b/>
      <sz val="48"/>
      <color theme="1"/>
      <name val="Arial Black"/>
      <family val="2"/>
    </font>
    <font>
      <sz val="11"/>
      <color theme="0" tint="-0.249977111117893"/>
      <name val="Arial"/>
      <family val="2"/>
      <scheme val="minor"/>
    </font>
    <font>
      <b/>
      <sz val="26"/>
      <color theme="0" tint="-0.249977111117893"/>
      <name val="Castellar"/>
      <family val="1"/>
    </font>
    <font>
      <b/>
      <sz val="72"/>
      <color theme="0" tint="-0.249977111117893"/>
      <name val="Arial Rounded MT Bold"/>
      <family val="2"/>
    </font>
    <font>
      <b/>
      <sz val="26"/>
      <color theme="0" tint="-0.249977111117893"/>
      <name val="Cooper Black"/>
      <family val="1"/>
    </font>
  </fonts>
  <fills count="4">
    <fill>
      <patternFill patternType="none"/>
    </fill>
    <fill>
      <patternFill patternType="gray125"/>
    </fill>
    <fill>
      <patternFill patternType="solid">
        <fgColor rgb="FFBFBFBF"/>
        <bgColor rgb="FFBFBFBF"/>
      </patternFill>
    </fill>
    <fill>
      <patternFill patternType="solid">
        <fgColor theme="2" tint="-0.499984740745262"/>
        <bgColor indexed="64"/>
      </patternFill>
    </fill>
  </fills>
  <borders count="10">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32">
    <xf numFmtId="0" fontId="0" fillId="0" borderId="0" xfId="0"/>
    <xf numFmtId="0" fontId="2" fillId="2" borderId="1" xfId="0" applyFont="1" applyFill="1" applyBorder="1" applyAlignment="1">
      <alignment horizontal="center"/>
    </xf>
    <xf numFmtId="0" fontId="2" fillId="2" borderId="2" xfId="0" applyFont="1" applyFill="1" applyBorder="1" applyAlignment="1">
      <alignment horizontal="center"/>
    </xf>
    <xf numFmtId="164" fontId="2" fillId="2" borderId="2" xfId="0" applyNumberFormat="1" applyFont="1" applyFill="1" applyBorder="1" applyAlignment="1">
      <alignment horizontal="center"/>
    </xf>
    <xf numFmtId="0" fontId="2" fillId="2" borderId="3" xfId="0" applyFont="1" applyFill="1" applyBorder="1" applyAlignment="1">
      <alignment horizontal="center"/>
    </xf>
    <xf numFmtId="0" fontId="3" fillId="0" borderId="4" xfId="0" applyFont="1" applyBorder="1"/>
    <xf numFmtId="0" fontId="3" fillId="0" borderId="5" xfId="0" applyFont="1" applyBorder="1"/>
    <xf numFmtId="164" fontId="3" fillId="0" borderId="5" xfId="0" applyNumberFormat="1" applyFont="1" applyBorder="1"/>
    <xf numFmtId="0" fontId="3" fillId="0" borderId="6" xfId="0" applyFont="1" applyBorder="1"/>
    <xf numFmtId="0" fontId="3" fillId="0" borderId="2" xfId="0" applyFont="1" applyBorder="1"/>
    <xf numFmtId="0" fontId="3" fillId="0" borderId="0" xfId="0" applyFont="1"/>
    <xf numFmtId="0" fontId="3" fillId="0" borderId="7" xfId="0" applyFont="1" applyBorder="1"/>
    <xf numFmtId="0" fontId="3" fillId="0" borderId="8" xfId="0" applyFont="1" applyBorder="1"/>
    <xf numFmtId="164" fontId="3" fillId="0" borderId="8" xfId="0" applyNumberFormat="1" applyFont="1" applyBorder="1"/>
    <xf numFmtId="0" fontId="3" fillId="0" borderId="9" xfId="0" applyFont="1" applyBorder="1"/>
    <xf numFmtId="0" fontId="0" fillId="0" borderId="0" xfId="0" pivotButton="1"/>
    <xf numFmtId="0" fontId="0" fillId="0" borderId="0" xfId="0" applyAlignment="1">
      <alignment horizontal="left"/>
    </xf>
    <xf numFmtId="0" fontId="0" fillId="0" borderId="0" xfId="0" applyAlignment="1">
      <alignment horizontal="left" vertical="center" indent="1"/>
    </xf>
    <xf numFmtId="0" fontId="4" fillId="0" borderId="0" xfId="0" applyFont="1" applyAlignment="1">
      <alignment vertical="center"/>
    </xf>
    <xf numFmtId="0" fontId="5" fillId="0" borderId="0" xfId="0" applyFont="1"/>
    <xf numFmtId="0" fontId="0" fillId="0" borderId="0" xfId="0" applyAlignment="1">
      <alignment horizontal="left" indent="1"/>
    </xf>
    <xf numFmtId="0" fontId="6" fillId="0" borderId="0" xfId="0" applyFont="1" applyAlignment="1">
      <alignment horizontal="left" vertical="center" indent="1"/>
    </xf>
    <xf numFmtId="0" fontId="1" fillId="0" borderId="0" xfId="0" applyFont="1"/>
    <xf numFmtId="0" fontId="8" fillId="3" borderId="0" xfId="0" applyFont="1" applyFill="1"/>
    <xf numFmtId="0" fontId="0" fillId="3" borderId="0" xfId="0" applyFill="1"/>
    <xf numFmtId="0" fontId="7" fillId="3" borderId="0" xfId="0" applyFont="1" applyFill="1"/>
    <xf numFmtId="0" fontId="13" fillId="3" borderId="0" xfId="0" applyFont="1" applyFill="1"/>
    <xf numFmtId="0" fontId="14" fillId="3" borderId="0" xfId="0" applyFont="1" applyFill="1"/>
    <xf numFmtId="0" fontId="16" fillId="3" borderId="0" xfId="0" applyFont="1" applyFill="1"/>
    <xf numFmtId="0" fontId="12" fillId="3" borderId="0" xfId="0" applyFont="1" applyFill="1"/>
    <xf numFmtId="0" fontId="10" fillId="3" borderId="0" xfId="0" applyFont="1" applyFill="1"/>
    <xf numFmtId="0" fontId="11" fillId="3" borderId="0" xfId="0" applyFont="1" applyFill="1"/>
  </cellXfs>
  <cellStyles count="1">
    <cellStyle name="Normal" xfId="0" builtinId="0"/>
  </cellStyles>
  <dxfs count="33">
    <dxf>
      <font>
        <b val="0"/>
        <i val="0"/>
        <strike val="0"/>
        <condense val="0"/>
        <extend val="0"/>
        <outline val="0"/>
        <shadow val="0"/>
        <u val="none"/>
        <vertAlign val="baseline"/>
        <sz val="11"/>
        <color theme="1"/>
        <name val="Twentieth Century"/>
        <scheme val="none"/>
      </font>
      <numFmt numFmtId="0" formatCode="General"/>
    </dxf>
    <dxf>
      <font>
        <b val="0"/>
        <i val="0"/>
        <strike val="0"/>
        <condense val="0"/>
        <extend val="0"/>
        <outline val="0"/>
        <shadow val="0"/>
        <u val="none"/>
        <vertAlign val="baseline"/>
        <sz val="11"/>
        <color theme="1"/>
        <name val="Twentieth Century"/>
        <scheme val="none"/>
      </font>
      <numFmt numFmtId="0" formatCode="Genera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wentieth Century"/>
        <scheme val="none"/>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Twentieth Century"/>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wentieth Century"/>
        <scheme val="none"/>
      </font>
      <numFmt numFmtId="164" formatCode="d/m/yyyy"/>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wentieth Century"/>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wentieth Century"/>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wentieth Century"/>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wentieth Century"/>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wentieth Century"/>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wentieth Century"/>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wentieth Century"/>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wentieth Century"/>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wentieth Century"/>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wentieth Century"/>
        <scheme val="none"/>
      </font>
      <numFmt numFmtId="164" formatCode="d/m/yyyy"/>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wentieth Century"/>
        <scheme val="none"/>
      </font>
      <numFmt numFmtId="164" formatCode="d/m/yyyy"/>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wentieth Century"/>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wentieth Century"/>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wentieth Century"/>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wentieth Century"/>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wentieth Century"/>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wentieth Century"/>
        <scheme val="none"/>
      </font>
      <numFmt numFmtId="164" formatCode="d/m/yyyy"/>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wentieth Century"/>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wentieth Century"/>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wentieth Century"/>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wentieth Century"/>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wentieth Century"/>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wentieth Century"/>
        <scheme val="none"/>
      </font>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Twentieth Century"/>
        <scheme val="none"/>
      </font>
    </dxf>
    <dxf>
      <border outline="0">
        <bottom style="thin">
          <color rgb="FF000000"/>
        </bottom>
      </border>
    </dxf>
    <dxf>
      <font>
        <b/>
        <i val="0"/>
        <strike val="0"/>
        <condense val="0"/>
        <extend val="0"/>
        <outline val="0"/>
        <shadow val="0"/>
        <u val="none"/>
        <vertAlign val="baseline"/>
        <sz val="11"/>
        <color theme="1"/>
        <name val="Twentieth Century"/>
        <scheme val="none"/>
      </font>
      <fill>
        <patternFill patternType="solid">
          <fgColor rgb="FFBFBFBF"/>
          <bgColor rgb="FFBFBFBF"/>
        </patternFill>
      </fill>
      <alignment horizontal="center" vertical="bottom"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5.xml"/><Relationship Id="rId18" Type="http://schemas.microsoft.com/office/2007/relationships/slicerCache" Target="slicerCaches/slicerCache10.xml"/><Relationship Id="rId26" Type="http://schemas.microsoft.com/office/2007/relationships/slicerCache" Target="slicerCaches/slicerCache18.xml"/><Relationship Id="rId21" Type="http://schemas.microsoft.com/office/2007/relationships/slicerCache" Target="slicerCaches/slicerCache13.xml"/><Relationship Id="rId34"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4.xml"/><Relationship Id="rId17" Type="http://schemas.microsoft.com/office/2007/relationships/slicerCache" Target="slicerCaches/slicerCache9.xml"/><Relationship Id="rId25" Type="http://schemas.microsoft.com/office/2007/relationships/slicerCache" Target="slicerCaches/slicerCache17.xml"/><Relationship Id="rId33"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8.xml"/><Relationship Id="rId20" Type="http://schemas.microsoft.com/office/2007/relationships/slicerCache" Target="slicerCaches/slicerCache12.xml"/><Relationship Id="rId29" Type="http://schemas.microsoft.com/office/2007/relationships/slicerCache" Target="slicerCaches/slicerCache2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microsoft.com/office/2007/relationships/slicerCache" Target="slicerCaches/slicerCache16.xml"/><Relationship Id="rId32" Type="http://schemas.microsoft.com/office/2007/relationships/slicerCache" Target="slicerCaches/slicerCache24.xml"/><Relationship Id="rId37"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7.xml"/><Relationship Id="rId23" Type="http://schemas.microsoft.com/office/2007/relationships/slicerCache" Target="slicerCaches/slicerCache15.xml"/><Relationship Id="rId28" Type="http://schemas.microsoft.com/office/2007/relationships/slicerCache" Target="slicerCaches/slicerCache20.xml"/><Relationship Id="rId36" Type="http://schemas.openxmlformats.org/officeDocument/2006/relationships/sheetMetadata" Target="metadata.xml"/><Relationship Id="rId10" Type="http://schemas.microsoft.com/office/2007/relationships/slicerCache" Target="slicerCaches/slicerCache2.xml"/><Relationship Id="rId19" Type="http://schemas.microsoft.com/office/2007/relationships/slicerCache" Target="slicerCaches/slicerCache11.xml"/><Relationship Id="rId31" Type="http://schemas.microsoft.com/office/2007/relationships/slicerCache" Target="slicerCaches/slicerCache23.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microsoft.com/office/2007/relationships/slicerCache" Target="slicerCaches/slicerCache14.xml"/><Relationship Id="rId27" Type="http://schemas.microsoft.com/office/2007/relationships/slicerCache" Target="slicerCaches/slicerCache19.xml"/><Relationship Id="rId30" Type="http://schemas.microsoft.com/office/2007/relationships/slicerCache" Target="slicerCaches/slicerCache22.xml"/><Relationship Id="rId35" Type="http://schemas.openxmlformats.org/officeDocument/2006/relationships/sharedStrings" Target="sharedStrings.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[hrDataset.xlsx]Employee Demographics!PivotTable4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Marital</a:t>
            </a:r>
            <a:r>
              <a:rPr lang="en-IN" baseline="0"/>
              <a:t> status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
        <c:idx val="3"/>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
        <c:idx val="4"/>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
        <c:idx val="5"/>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s>
    <c:plotArea>
      <c:layout/>
      <c:pieChart>
        <c:varyColors val="1"/>
        <c:ser>
          <c:idx val="0"/>
          <c:order val="0"/>
          <c:tx>
            <c:strRef>
              <c:f>'Employee Demographics'!$G$14</c:f>
              <c:strCache>
                <c:ptCount val="1"/>
                <c:pt idx="0">
                  <c:v>Total</c:v>
                </c:pt>
              </c:strCache>
            </c:strRef>
          </c:tx>
          <c:dPt>
            <c:idx val="0"/>
            <c:bubble3D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1-D440-41D5-BBA4-EE4AA95122D8}"/>
              </c:ext>
            </c:extLst>
          </c:dPt>
          <c:dPt>
            <c:idx val="1"/>
            <c:bubble3D val="0"/>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3-D440-41D5-BBA4-EE4AA95122D8}"/>
              </c:ext>
            </c:extLst>
          </c:dPt>
          <c:dPt>
            <c:idx val="2"/>
            <c:bubble3D val="0"/>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5-D440-41D5-BBA4-EE4AA95122D8}"/>
              </c:ext>
            </c:extLst>
          </c:dPt>
          <c:dPt>
            <c:idx val="3"/>
            <c:bubble3D val="0"/>
            <c:spPr>
              <a:gradFill rotWithShape="1">
                <a:gsLst>
                  <a:gs pos="0">
                    <a:schemeClr val="accent4">
                      <a:tint val="98000"/>
                      <a:lumMod val="110000"/>
                    </a:schemeClr>
                  </a:gs>
                  <a:gs pos="84000">
                    <a:schemeClr val="accent4">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7-D440-41D5-BBA4-EE4AA95122D8}"/>
              </c:ext>
            </c:extLst>
          </c:dPt>
          <c:dPt>
            <c:idx val="4"/>
            <c:bubble3D val="0"/>
            <c:spPr>
              <a:gradFill rotWithShape="1">
                <a:gsLst>
                  <a:gs pos="0">
                    <a:schemeClr val="accent5">
                      <a:tint val="98000"/>
                      <a:lumMod val="110000"/>
                    </a:schemeClr>
                  </a:gs>
                  <a:gs pos="84000">
                    <a:schemeClr val="accent5">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9-D440-41D5-BBA4-EE4AA95122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'Employee Demographics'!$F$15:$F$20</c:f>
              <c:strCache>
                <c:ptCount val="5"/>
                <c:pt idx="0">
                  <c:v>Divorced</c:v>
                </c:pt>
                <c:pt idx="1">
                  <c:v>Married</c:v>
                </c:pt>
                <c:pt idx="2">
                  <c:v>Separated</c:v>
                </c:pt>
                <c:pt idx="3">
                  <c:v>Single</c:v>
                </c:pt>
                <c:pt idx="4">
                  <c:v>Widowed</c:v>
                </c:pt>
              </c:strCache>
            </c:strRef>
          </c:cat>
          <c:val>
            <c:numRef>
              <c:f>'Employee Demographics'!$G$15:$G$20</c:f>
              <c:numCache>
                <c:formatCode>General</c:formatCode>
                <c:ptCount val="5"/>
                <c:pt idx="0">
                  <c:v>30</c:v>
                </c:pt>
                <c:pt idx="1">
                  <c:v>124</c:v>
                </c:pt>
                <c:pt idx="2">
                  <c:v>12</c:v>
                </c:pt>
                <c:pt idx="3">
                  <c:v>137</c:v>
                </c:pt>
                <c:pt idx="4">
                  <c:v>8</c:v>
                </c:pt>
              </c:numCache>
            </c:numRef>
          </c:val>
          <c:extLst>
            <c:ext xmlns:c16="http://schemas.microsoft.com/office/drawing/2014/chart" uri="{C3380CC4-5D6E-409C-BE32-E72D297353CC}">
              <c16:uniqueId val="{00000002-150E-4A26-9C92-94A8E5A0BA4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[hrDataset.xlsx]Employee Demographics!PivotTable2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age group</a:t>
            </a:r>
          </a:p>
        </c:rich>
      </c:tx>
      <c:layout>
        <c:manualLayout>
          <c:xMode val="edge"/>
          <c:yMode val="edge"/>
          <c:x val="0.47305555555555567"/>
          <c:y val="7.962322466701007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Demographics'!$B$33</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Demographics'!$A$34:$A$39</c:f>
              <c:strCache>
                <c:ptCount val="5"/>
                <c:pt idx="0">
                  <c:v>21-30</c:v>
                </c:pt>
                <c:pt idx="1">
                  <c:v>31-40</c:v>
                </c:pt>
                <c:pt idx="2">
                  <c:v>41-50</c:v>
                </c:pt>
                <c:pt idx="3">
                  <c:v>51-60</c:v>
                </c:pt>
                <c:pt idx="4">
                  <c:v>60+</c:v>
                </c:pt>
              </c:strCache>
            </c:strRef>
          </c:cat>
          <c:val>
            <c:numRef>
              <c:f>'Employee Demographics'!$B$34:$B$39</c:f>
              <c:numCache>
                <c:formatCode>General</c:formatCode>
                <c:ptCount val="5"/>
                <c:pt idx="0">
                  <c:v>11</c:v>
                </c:pt>
                <c:pt idx="1">
                  <c:v>153</c:v>
                </c:pt>
                <c:pt idx="2">
                  <c:v>98</c:v>
                </c:pt>
                <c:pt idx="3">
                  <c:v>36</c:v>
                </c:pt>
                <c:pt idx="4">
                  <c:v>13</c:v>
                </c:pt>
              </c:numCache>
            </c:numRef>
          </c:val>
          <c:extLst>
            <c:ext xmlns:c16="http://schemas.microsoft.com/office/drawing/2014/chart" uri="{C3380CC4-5D6E-409C-BE32-E72D297353CC}">
              <c16:uniqueId val="{00000002-E32A-43F5-AC9F-A00F26883CEF}"/>
            </c:ext>
          </c:extLst>
        </c:ser>
        <c:dLbls>
          <c:dLblPos val="outEnd"/>
          <c:showLegendKey val="0"/>
          <c:showVal val="1"/>
          <c:showCatName val="0"/>
          <c:showSerName val="0"/>
          <c:showPercent val="0"/>
          <c:showBubbleSize val="0"/>
        </c:dLbls>
        <c:gapWidth val="100"/>
        <c:overlap val="-24"/>
        <c:axId val="982377007"/>
        <c:axId val="975195311"/>
      </c:barChart>
      <c:catAx>
        <c:axId val="9823770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195311"/>
        <c:crosses val="autoZero"/>
        <c:auto val="1"/>
        <c:lblAlgn val="ctr"/>
        <c:lblOffset val="100"/>
        <c:noMultiLvlLbl val="0"/>
      </c:catAx>
      <c:valAx>
        <c:axId val="975195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377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[hrDataset.xlsx]Employee Demographics!PivotTable3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employee race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Demographics'!$B$54</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'Employee Demographics'!$A$55:$A$61</c:f>
              <c:strCache>
                <c:ptCount val="6"/>
                <c:pt idx="0">
                  <c:v>American Indian or Alaska Native</c:v>
                </c:pt>
                <c:pt idx="1">
                  <c:v>Asian</c:v>
                </c:pt>
                <c:pt idx="2">
                  <c:v>Black or African American</c:v>
                </c:pt>
                <c:pt idx="3">
                  <c:v>Hispanic</c:v>
                </c:pt>
                <c:pt idx="4">
                  <c:v>Two or more races</c:v>
                </c:pt>
                <c:pt idx="5">
                  <c:v>White</c:v>
                </c:pt>
              </c:strCache>
            </c:strRef>
          </c:cat>
          <c:val>
            <c:numRef>
              <c:f>'Employee Demographics'!$B$55:$B$61</c:f>
              <c:numCache>
                <c:formatCode>General</c:formatCode>
                <c:ptCount val="6"/>
                <c:pt idx="0">
                  <c:v>3</c:v>
                </c:pt>
                <c:pt idx="1">
                  <c:v>29</c:v>
                </c:pt>
                <c:pt idx="2">
                  <c:v>80</c:v>
                </c:pt>
                <c:pt idx="3">
                  <c:v>1</c:v>
                </c:pt>
                <c:pt idx="4">
                  <c:v>11</c:v>
                </c:pt>
                <c:pt idx="5">
                  <c:v>187</c:v>
                </c:pt>
              </c:numCache>
            </c:numRef>
          </c:val>
          <c:extLst>
            <c:ext xmlns:c16="http://schemas.microsoft.com/office/drawing/2014/chart" uri="{C3380CC4-5D6E-409C-BE32-E72D297353CC}">
              <c16:uniqueId val="{00000002-DCBA-46F2-A069-E4811E91B261}"/>
            </c:ext>
          </c:extLst>
        </c:ser>
        <c:dLbls>
          <c:dLblPos val="outEnd"/>
          <c:showLegendKey val="0"/>
          <c:showVal val="1"/>
          <c:showCatName val="0"/>
          <c:showSerName val="0"/>
          <c:showPercent val="0"/>
          <c:showBubbleSize val="0"/>
        </c:dLbls>
        <c:gapWidth val="100"/>
        <c:overlap val="-24"/>
        <c:axId val="976441919"/>
        <c:axId val="974667599"/>
      </c:barChart>
      <c:catAx>
        <c:axId val="9764419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4667599"/>
        <c:crosses val="autoZero"/>
        <c:auto val="1"/>
        <c:lblAlgn val="ctr"/>
        <c:lblOffset val="100"/>
        <c:noMultiLvlLbl val="0"/>
      </c:catAx>
      <c:valAx>
        <c:axId val="9746675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6441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[hrDataset.xlsx]Employee Demographics!PivotTable5</c:name>
    <c:fmtId val="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state information</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Demographics'!$E$33</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'Employee Demographics'!$D$34:$D$36</c:f>
              <c:strCache>
                <c:ptCount val="2"/>
                <c:pt idx="0">
                  <c:v>other</c:v>
                </c:pt>
                <c:pt idx="1">
                  <c:v>MA</c:v>
                </c:pt>
              </c:strCache>
            </c:strRef>
          </c:cat>
          <c:val>
            <c:numRef>
              <c:f>'Employee Demographics'!$E$34:$E$36</c:f>
              <c:numCache>
                <c:formatCode>General</c:formatCode>
                <c:ptCount val="2"/>
                <c:pt idx="0">
                  <c:v>35</c:v>
                </c:pt>
                <c:pt idx="1">
                  <c:v>276</c:v>
                </c:pt>
              </c:numCache>
            </c:numRef>
          </c:val>
          <c:extLst>
            <c:ext xmlns:c16="http://schemas.microsoft.com/office/drawing/2014/chart" uri="{C3380CC4-5D6E-409C-BE32-E72D297353CC}">
              <c16:uniqueId val="{00000000-2F1A-4251-ACE9-C4A98F18BAD4}"/>
            </c:ext>
          </c:extLst>
        </c:ser>
        <c:dLbls>
          <c:dLblPos val="outEnd"/>
          <c:showLegendKey val="0"/>
          <c:showVal val="1"/>
          <c:showCatName val="0"/>
          <c:showSerName val="0"/>
          <c:showPercent val="0"/>
          <c:showBubbleSize val="0"/>
        </c:dLbls>
        <c:gapWidth val="80"/>
        <c:overlap val="25"/>
        <c:axId val="1020752047"/>
        <c:axId val="1020754447"/>
      </c:barChart>
      <c:catAx>
        <c:axId val="1020752047"/>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020754447"/>
        <c:crosses val="autoZero"/>
        <c:auto val="1"/>
        <c:lblAlgn val="ctr"/>
        <c:lblOffset val="100"/>
        <c:noMultiLvlLbl val="0"/>
      </c:catAx>
      <c:valAx>
        <c:axId val="1020754447"/>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02075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[hrDataset.xlsx]Employee Demographics!PivotTable6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Citizenship</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26984126984126983"/>
              <c:y val="5.444646098003629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24761904761904763"/>
              <c:y val="-1.209921355111920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15873015873015872"/>
              <c:y val="-1.1090817633120865E-1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'Employee Demographics'!$F$55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674-49C9-9820-0F122CCB226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674-49C9-9820-0F122CCB226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674-49C9-9820-0F122CCB2261}"/>
              </c:ext>
            </c:extLst>
          </c:dPt>
          <c:dLbls>
            <c:dLbl>
              <c:idx val="0"/>
              <c:layout>
                <c:manualLayout>
                  <c:x val="-0.26984126984126983"/>
                  <c:y val="5.444646098003629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674-49C9-9820-0F122CCB2261}"/>
                </c:ext>
              </c:extLst>
            </c:dLbl>
            <c:dLbl>
              <c:idx val="1"/>
              <c:layout>
                <c:manualLayout>
                  <c:x val="0.24761904761904763"/>
                  <c:y val="-1.209921355111920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674-49C9-9820-0F122CCB2261}"/>
                </c:ext>
              </c:extLst>
            </c:dLbl>
            <c:dLbl>
              <c:idx val="2"/>
              <c:layout>
                <c:manualLayout>
                  <c:x val="-0.15873015873015872"/>
                  <c:y val="-1.1090817633120865E-1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674-49C9-9820-0F122CCB2261}"/>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'Employee Demographics'!$E$56:$E$59</c:f>
              <c:strCache>
                <c:ptCount val="3"/>
                <c:pt idx="0">
                  <c:v>Eligible NonCitizen</c:v>
                </c:pt>
                <c:pt idx="1">
                  <c:v>Non-Citizen</c:v>
                </c:pt>
                <c:pt idx="2">
                  <c:v>US Citizen</c:v>
                </c:pt>
              </c:strCache>
            </c:strRef>
          </c:cat>
          <c:val>
            <c:numRef>
              <c:f>'Employee Demographics'!$F$56:$F$59</c:f>
              <c:numCache>
                <c:formatCode>General</c:formatCode>
                <c:ptCount val="3"/>
                <c:pt idx="0">
                  <c:v>12</c:v>
                </c:pt>
                <c:pt idx="1">
                  <c:v>4</c:v>
                </c:pt>
                <c:pt idx="2">
                  <c:v>295</c:v>
                </c:pt>
              </c:numCache>
            </c:numRef>
          </c:val>
          <c:extLst>
            <c:ext xmlns:c16="http://schemas.microsoft.com/office/drawing/2014/chart" uri="{C3380CC4-5D6E-409C-BE32-E72D297353CC}">
              <c16:uniqueId val="{00000002-9294-40A1-B579-530F1CB7062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[hrDataset.xlsx]Employee Demographics!PivotTable9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7.861329833770779E-2"/>
              <c:y val="-0.1116385451818522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1.0621609798775168E-2"/>
              <c:y val="5.63400163214891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'Employee Demographics'!$B$81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D21-470B-985D-EE61CDA0DE3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9DB-4DED-8A46-0612101F2C9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D9DB-4DED-8A46-0612101F2C96}"/>
              </c:ext>
            </c:extLst>
          </c:dPt>
          <c:dLbls>
            <c:dLbl>
              <c:idx val="0"/>
              <c:layout>
                <c:manualLayout>
                  <c:x val="7.861329833770779E-2"/>
                  <c:y val="-0.1116385451818522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D21-470B-985D-EE61CDA0DE3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'Employee Demographics'!$A$82:$A$83</c:f>
              <c:strCache>
                <c:ptCount val="1"/>
                <c:pt idx="0">
                  <c:v>Voluntarily Terminated</c:v>
                </c:pt>
              </c:strCache>
            </c:strRef>
          </c:cat>
          <c:val>
            <c:numRef>
              <c:f>'Employee Demographics'!$B$82:$B$83</c:f>
              <c:numCache>
                <c:formatCode>General</c:formatCode>
                <c:ptCount val="1"/>
                <c:pt idx="0">
                  <c:v>88</c:v>
                </c:pt>
              </c:numCache>
            </c:numRef>
          </c:val>
          <c:extLst>
            <c:ext xmlns:c16="http://schemas.microsoft.com/office/drawing/2014/chart" uri="{C3380CC4-5D6E-409C-BE32-E72D297353CC}">
              <c16:uniqueId val="{00000000-8F48-4FD3-872F-C51E9546293D}"/>
            </c:ext>
          </c:extLst>
        </c:ser>
        <c:dLbls>
          <c:dLblPos val="ctr"/>
          <c:showLegendKey val="0"/>
          <c:showVal val="0"/>
          <c:showCatName val="1"/>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[hrDataset.xlsx]Employee Demographics!PivotTable10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Employement</a:t>
            </a:r>
            <a:r>
              <a:rPr lang="en-US" baseline="0"/>
              <a:t> status</a:t>
            </a:r>
            <a:endParaRPr lang="en-US"/>
          </a:p>
        </c:rich>
      </c:tx>
      <c:layout>
        <c:manualLayout>
          <c:xMode val="edge"/>
          <c:yMode val="edge"/>
          <c:x val="0.34805555555555562"/>
          <c:y val="5.88550026752273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803149606299214E-2"/>
          <c:y val="0.36050707203266252"/>
          <c:w val="0.77378937007874016"/>
          <c:h val="0.53774387576552929"/>
        </c:manualLayout>
      </c:layout>
      <c:barChart>
        <c:barDir val="col"/>
        <c:grouping val="clustered"/>
        <c:varyColors val="0"/>
        <c:ser>
          <c:idx val="0"/>
          <c:order val="0"/>
          <c:tx>
            <c:strRef>
              <c:f>'Employee Demographics'!$F$82</c:f>
              <c:strCache>
                <c:ptCount val="1"/>
                <c:pt idx="0">
                  <c:v>Total</c:v>
                </c:pt>
              </c:strCache>
            </c:strRef>
          </c:tx>
          <c:spPr>
            <a:solidFill>
              <a:schemeClr val="accent1"/>
            </a:solidFill>
            <a:ln>
              <a:noFill/>
            </a:ln>
            <a:effectLst/>
          </c:spPr>
          <c:invertIfNegative val="0"/>
          <c:cat>
            <c:strRef>
              <c:f>'Employee Demographics'!$E$83:$E$86</c:f>
              <c:strCache>
                <c:ptCount val="3"/>
                <c:pt idx="0">
                  <c:v>Active</c:v>
                </c:pt>
                <c:pt idx="1">
                  <c:v>Terminated for Cause</c:v>
                </c:pt>
                <c:pt idx="2">
                  <c:v>Voluntarily Terminated</c:v>
                </c:pt>
              </c:strCache>
            </c:strRef>
          </c:cat>
          <c:val>
            <c:numRef>
              <c:f>'Employee Demographics'!$F$83:$F$86</c:f>
              <c:numCache>
                <c:formatCode>General</c:formatCode>
                <c:ptCount val="3"/>
                <c:pt idx="0">
                  <c:v>207</c:v>
                </c:pt>
                <c:pt idx="1">
                  <c:v>16</c:v>
                </c:pt>
                <c:pt idx="2">
                  <c:v>88</c:v>
                </c:pt>
              </c:numCache>
            </c:numRef>
          </c:val>
          <c:extLst>
            <c:ext xmlns:c16="http://schemas.microsoft.com/office/drawing/2014/chart" uri="{C3380CC4-5D6E-409C-BE32-E72D297353CC}">
              <c16:uniqueId val="{00000000-C93F-44B0-94D5-2A0DED011E2D}"/>
            </c:ext>
          </c:extLst>
        </c:ser>
        <c:dLbls>
          <c:showLegendKey val="0"/>
          <c:showVal val="0"/>
          <c:showCatName val="0"/>
          <c:showSerName val="0"/>
          <c:showPercent val="0"/>
          <c:showBubbleSize val="0"/>
        </c:dLbls>
        <c:gapWidth val="219"/>
        <c:overlap val="-27"/>
        <c:axId val="946238128"/>
        <c:axId val="946247728"/>
      </c:barChart>
      <c:catAx>
        <c:axId val="94623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247728"/>
        <c:crosses val="autoZero"/>
        <c:auto val="1"/>
        <c:lblAlgn val="ctr"/>
        <c:lblOffset val="100"/>
        <c:noMultiLvlLbl val="0"/>
      </c:catAx>
      <c:valAx>
        <c:axId val="946247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23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[hrDataset.xlsx]Employee Demographics!PivotTable1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gender data </a:t>
            </a:r>
            <a:endParaRPr lang="en-US"/>
          </a:p>
        </c:rich>
      </c:tx>
      <c:layout>
        <c:manualLayout>
          <c:xMode val="edge"/>
          <c:yMode val="edge"/>
          <c:x val="0.39565219577437877"/>
          <c:y val="4.12170700884611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 Demographics'!$B$15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Demographics'!$A$16:$A$18</c:f>
              <c:strCache>
                <c:ptCount val="2"/>
                <c:pt idx="0">
                  <c:v>F</c:v>
                </c:pt>
                <c:pt idx="1">
                  <c:v>M </c:v>
                </c:pt>
              </c:strCache>
            </c:strRef>
          </c:cat>
          <c:val>
            <c:numRef>
              <c:f>'Employee Demographics'!$B$16:$B$18</c:f>
              <c:numCache>
                <c:formatCode>General</c:formatCode>
                <c:ptCount val="2"/>
                <c:pt idx="0">
                  <c:v>176</c:v>
                </c:pt>
                <c:pt idx="1">
                  <c:v>135</c:v>
                </c:pt>
              </c:numCache>
            </c:numRef>
          </c:val>
          <c:extLst>
            <c:ext xmlns:c16="http://schemas.microsoft.com/office/drawing/2014/chart" uri="{C3380CC4-5D6E-409C-BE32-E72D297353CC}">
              <c16:uniqueId val="{00000000-6194-4FDA-B889-5DE503791055}"/>
            </c:ext>
          </c:extLst>
        </c:ser>
        <c:dLbls>
          <c:dLblPos val="outEnd"/>
          <c:showLegendKey val="0"/>
          <c:showVal val="1"/>
          <c:showCatName val="0"/>
          <c:showSerName val="0"/>
          <c:showPercent val="0"/>
          <c:showBubbleSize val="0"/>
        </c:dLbls>
        <c:gapWidth val="182"/>
        <c:axId val="630860879"/>
        <c:axId val="630861839"/>
      </c:barChart>
      <c:catAx>
        <c:axId val="630860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861839"/>
        <c:crosses val="autoZero"/>
        <c:auto val="1"/>
        <c:lblAlgn val="ctr"/>
        <c:lblOffset val="100"/>
        <c:noMultiLvlLbl val="0"/>
      </c:catAx>
      <c:valAx>
        <c:axId val="630861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86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[hrDataset.xlsx]Salary&amp; Compensations!PivotTable1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deparment</a:t>
            </a:r>
            <a:r>
              <a:rPr lang="en-US" baseline="0"/>
              <a:t> average salry</a:t>
            </a:r>
            <a:endParaRPr lang="en-US"/>
          </a:p>
        </c:rich>
      </c:tx>
      <c:layout>
        <c:manualLayout>
          <c:xMode val="edge"/>
          <c:yMode val="edge"/>
          <c:x val="0.30305970189309156"/>
          <c:y val="4.629499437570303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2002537182852144"/>
          <c:y val="0.27717373869932921"/>
          <c:w val="0.73578937007874012"/>
          <c:h val="0.48688721201516477"/>
        </c:manualLayout>
      </c:layout>
      <c:pieChart>
        <c:varyColors val="1"/>
        <c:ser>
          <c:idx val="0"/>
          <c:order val="0"/>
          <c:tx>
            <c:strRef>
              <c:f>'Salary&amp; Compensations'!$B$17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B1D-4160-ACDE-0E1AFC4A6DDC}"/>
              </c:ext>
            </c:extLst>
          </c:dPt>
          <c:dPt>
            <c:idx val="1"/>
            <c:bubble3D val="0"/>
            <c:spPr>
              <a:solidFill>
                <a:schemeClr val="accent2"/>
              </a:solidFill>
              <a:ln>
                <a:noFill/>
              </a:ln>
              <a:effectLst/>
            </c:spPr>
            <c:extLst>
              <c:ext xmlns:c16="http://schemas.microsoft.com/office/drawing/2014/chart" uri="{C3380CC4-5D6E-409C-BE32-E72D297353CC}">
                <c16:uniqueId val="{00000003-8B1D-4160-ACDE-0E1AFC4A6DDC}"/>
              </c:ext>
            </c:extLst>
          </c:dPt>
          <c:dPt>
            <c:idx val="2"/>
            <c:bubble3D val="0"/>
            <c:spPr>
              <a:solidFill>
                <a:schemeClr val="accent3"/>
              </a:solidFill>
              <a:ln>
                <a:noFill/>
              </a:ln>
              <a:effectLst/>
            </c:spPr>
            <c:extLst>
              <c:ext xmlns:c16="http://schemas.microsoft.com/office/drawing/2014/chart" uri="{C3380CC4-5D6E-409C-BE32-E72D297353CC}">
                <c16:uniqueId val="{00000005-8B1D-4160-ACDE-0E1AFC4A6DDC}"/>
              </c:ext>
            </c:extLst>
          </c:dPt>
          <c:dPt>
            <c:idx val="3"/>
            <c:bubble3D val="0"/>
            <c:spPr>
              <a:solidFill>
                <a:schemeClr val="accent4"/>
              </a:solidFill>
              <a:ln>
                <a:noFill/>
              </a:ln>
              <a:effectLst/>
            </c:spPr>
            <c:extLst>
              <c:ext xmlns:c16="http://schemas.microsoft.com/office/drawing/2014/chart" uri="{C3380CC4-5D6E-409C-BE32-E72D297353CC}">
                <c16:uniqueId val="{00000007-8B1D-4160-ACDE-0E1AFC4A6DDC}"/>
              </c:ext>
            </c:extLst>
          </c:dPt>
          <c:dPt>
            <c:idx val="4"/>
            <c:bubble3D val="0"/>
            <c:spPr>
              <a:solidFill>
                <a:schemeClr val="accent5"/>
              </a:solidFill>
              <a:ln>
                <a:noFill/>
              </a:ln>
              <a:effectLst/>
            </c:spPr>
            <c:extLst>
              <c:ext xmlns:c16="http://schemas.microsoft.com/office/drawing/2014/chart" uri="{C3380CC4-5D6E-409C-BE32-E72D297353CC}">
                <c16:uniqueId val="{00000009-8B1D-4160-ACDE-0E1AFC4A6DDC}"/>
              </c:ext>
            </c:extLst>
          </c:dPt>
          <c:dPt>
            <c:idx val="5"/>
            <c:bubble3D val="0"/>
            <c:spPr>
              <a:solidFill>
                <a:schemeClr val="accent6"/>
              </a:solidFill>
              <a:ln>
                <a:noFill/>
              </a:ln>
              <a:effectLst/>
            </c:spPr>
            <c:extLst>
              <c:ext xmlns:c16="http://schemas.microsoft.com/office/drawing/2014/chart" uri="{C3380CC4-5D6E-409C-BE32-E72D297353CC}">
                <c16:uniqueId val="{0000000B-8B1D-4160-ACDE-0E1AFC4A6D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'Salary&amp; Compensations'!$A$18:$A$24</c:f>
              <c:strCache>
                <c:ptCount val="6"/>
                <c:pt idx="0">
                  <c:v>Admin Offices</c:v>
                </c:pt>
                <c:pt idx="1">
                  <c:v>Executive Office</c:v>
                </c:pt>
                <c:pt idx="2">
                  <c:v>IT/IS</c:v>
                </c:pt>
                <c:pt idx="3">
                  <c:v>Production       </c:v>
                </c:pt>
                <c:pt idx="4">
                  <c:v>Sales</c:v>
                </c:pt>
                <c:pt idx="5">
                  <c:v>Software Engineering</c:v>
                </c:pt>
              </c:strCache>
            </c:strRef>
          </c:cat>
          <c:val>
            <c:numRef>
              <c:f>'Salary&amp; Compensations'!$B$18:$B$24</c:f>
              <c:numCache>
                <c:formatCode>General</c:formatCode>
                <c:ptCount val="6"/>
                <c:pt idx="0">
                  <c:v>71791.888888888891</c:v>
                </c:pt>
                <c:pt idx="1">
                  <c:v>250000</c:v>
                </c:pt>
                <c:pt idx="2">
                  <c:v>97064.639999999999</c:v>
                </c:pt>
                <c:pt idx="3">
                  <c:v>59953.545454545456</c:v>
                </c:pt>
                <c:pt idx="4">
                  <c:v>69061.258064516136</c:v>
                </c:pt>
                <c:pt idx="5">
                  <c:v>94989.454545454544</c:v>
                </c:pt>
              </c:numCache>
            </c:numRef>
          </c:val>
          <c:extLst>
            <c:ext xmlns:c16="http://schemas.microsoft.com/office/drawing/2014/chart" uri="{C3380CC4-5D6E-409C-BE32-E72D297353CC}">
              <c16:uniqueId val="{0000000C-056F-4148-A3DA-C97718A2FB7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[hrDataset.xlsx]Salary&amp; Compensations!PivotTable2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5 position avg salary</a:t>
            </a:r>
          </a:p>
        </c:rich>
      </c:tx>
      <c:layout>
        <c:manualLayout>
          <c:xMode val="edge"/>
          <c:yMode val="edge"/>
          <c:x val="0.33089899399253331"/>
          <c:y val="6.615433407306110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29197765707239"/>
          <c:y val="0.22169288829657832"/>
          <c:w val="0.77016314474826553"/>
          <c:h val="0.63301813272451868"/>
        </c:manualLayout>
      </c:layout>
      <c:barChart>
        <c:barDir val="col"/>
        <c:grouping val="clustered"/>
        <c:varyColors val="0"/>
        <c:ser>
          <c:idx val="0"/>
          <c:order val="0"/>
          <c:tx>
            <c:strRef>
              <c:f>'Salary&amp; Compensations'!$H$17</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multiLvlStrRef>
              <c:f>'Salary&amp; Compensations'!$G$18:$G$30</c:f>
              <c:multiLvlStrCache>
                <c:ptCount val="10"/>
                <c:lvl>
                  <c:pt idx="0">
                    <c:v>CIO</c:v>
                  </c:pt>
                  <c:pt idx="1">
                    <c:v>Director of Operations</c:v>
                  </c:pt>
                  <c:pt idx="2">
                    <c:v>Director of Sales</c:v>
                  </c:pt>
                  <c:pt idx="3">
                    <c:v>IT Director</c:v>
                  </c:pt>
                  <c:pt idx="4">
                    <c:v>President &amp; CEO</c:v>
                  </c:pt>
                  <c:pt idx="5">
                    <c:v>Area Sales Manager</c:v>
                  </c:pt>
                  <c:pt idx="6">
                    <c:v>Data Analyst</c:v>
                  </c:pt>
                  <c:pt idx="7">
                    <c:v>Production Manager</c:v>
                  </c:pt>
                  <c:pt idx="8">
                    <c:v>Production Technician II</c:v>
                  </c:pt>
                  <c:pt idx="9">
                    <c:v>Software Engineer</c:v>
                  </c:pt>
                </c:lvl>
                <c:lvl>
                  <c:pt idx="0">
                    <c:v>Group1</c:v>
                  </c:pt>
                  <c:pt idx="5">
                    <c:v>Group2</c:v>
                  </c:pt>
                </c:lvl>
              </c:multiLvlStrCache>
            </c:multiLvlStrRef>
          </c:cat>
          <c:val>
            <c:numRef>
              <c:f>'Salary&amp; Compensations'!$H$18:$H$30</c:f>
              <c:numCache>
                <c:formatCode>General</c:formatCode>
                <c:ptCount val="10"/>
                <c:pt idx="0">
                  <c:v>220450</c:v>
                </c:pt>
                <c:pt idx="1">
                  <c:v>170500</c:v>
                </c:pt>
                <c:pt idx="2">
                  <c:v>180000</c:v>
                </c:pt>
                <c:pt idx="3">
                  <c:v>178000</c:v>
                </c:pt>
                <c:pt idx="4">
                  <c:v>250000</c:v>
                </c:pt>
                <c:pt idx="5">
                  <c:v>64932.555555555555</c:v>
                </c:pt>
                <c:pt idx="6">
                  <c:v>89932.571428571435</c:v>
                </c:pt>
                <c:pt idx="7">
                  <c:v>75294.5</c:v>
                </c:pt>
                <c:pt idx="8">
                  <c:v>64892.210526315786</c:v>
                </c:pt>
                <c:pt idx="9">
                  <c:v>96719.2</c:v>
                </c:pt>
              </c:numCache>
            </c:numRef>
          </c:val>
          <c:extLst>
            <c:ext xmlns:c16="http://schemas.microsoft.com/office/drawing/2014/chart" uri="{C3380CC4-5D6E-409C-BE32-E72D297353CC}">
              <c16:uniqueId val="{00000000-46E4-491D-B8CF-23E04F6B2766}"/>
            </c:ext>
          </c:extLst>
        </c:ser>
        <c:dLbls>
          <c:showLegendKey val="0"/>
          <c:showVal val="0"/>
          <c:showCatName val="0"/>
          <c:showSerName val="0"/>
          <c:showPercent val="0"/>
          <c:showBubbleSize val="0"/>
        </c:dLbls>
        <c:gapWidth val="100"/>
        <c:overlap val="-24"/>
        <c:axId val="342844016"/>
        <c:axId val="342844496"/>
      </c:barChart>
      <c:catAx>
        <c:axId val="342844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844496"/>
        <c:crosses val="autoZero"/>
        <c:auto val="1"/>
        <c:lblAlgn val="ctr"/>
        <c:lblOffset val="100"/>
        <c:noMultiLvlLbl val="0"/>
      </c:catAx>
      <c:valAx>
        <c:axId val="34284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84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[hrDataset.xlsx]Salary&amp; Compensations!PivotTable3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Manager salary analysis</a:t>
            </a:r>
          </a:p>
        </c:rich>
      </c:tx>
      <c:layout>
        <c:manualLayout>
          <c:xMode val="edge"/>
          <c:yMode val="edge"/>
          <c:x val="0.35125518681406243"/>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pivotFmt>
      <c:pivotFmt>
        <c:idx val="2"/>
        <c:spPr>
          <a:solidFill>
            <a:schemeClr val="accent1">
              <a:alpha val="85000"/>
            </a:schemeClr>
          </a:solidFill>
          <a:ln w="9525" cap="flat" cmpd="sng" algn="ctr">
            <a:solidFill>
              <a:schemeClr val="lt1">
                <a:alpha val="50000"/>
              </a:schemeClr>
            </a:solidFill>
            <a:round/>
          </a:ln>
          <a:effectLst/>
        </c:spPr>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13648293963255"/>
          <c:y val="0.32347003499562554"/>
          <c:w val="0.7104560367454068"/>
          <c:h val="0.53774387576552929"/>
        </c:manualLayout>
      </c:layout>
      <c:barChart>
        <c:barDir val="col"/>
        <c:grouping val="clustered"/>
        <c:varyColors val="0"/>
        <c:ser>
          <c:idx val="0"/>
          <c:order val="0"/>
          <c:tx>
            <c:strRef>
              <c:f>'Salary&amp; Compensations'!$B$42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'Salary&amp; Compensations'!$A$43:$A$45</c:f>
              <c:strCache>
                <c:ptCount val="2"/>
                <c:pt idx="0">
                  <c:v>lowest salry </c:v>
                </c:pt>
                <c:pt idx="1">
                  <c:v>higest salary</c:v>
                </c:pt>
              </c:strCache>
            </c:strRef>
          </c:cat>
          <c:val>
            <c:numRef>
              <c:f>'Salary&amp; Compensations'!$B$43:$B$45</c:f>
              <c:numCache>
                <c:formatCode>General</c:formatCode>
                <c:ptCount val="2"/>
                <c:pt idx="0">
                  <c:v>102</c:v>
                </c:pt>
                <c:pt idx="1">
                  <c:v>209</c:v>
                </c:pt>
              </c:numCache>
            </c:numRef>
          </c:val>
          <c:extLst>
            <c:ext xmlns:c16="http://schemas.microsoft.com/office/drawing/2014/chart" uri="{C3380CC4-5D6E-409C-BE32-E72D297353CC}">
              <c16:uniqueId val="{00000000-688E-4550-8D54-E8AAE4C6AD74}"/>
            </c:ext>
          </c:extLst>
        </c:ser>
        <c:dLbls>
          <c:dLblPos val="inBase"/>
          <c:showLegendKey val="0"/>
          <c:showVal val="1"/>
          <c:showCatName val="0"/>
          <c:showSerName val="0"/>
          <c:showPercent val="0"/>
          <c:showBubbleSize val="0"/>
        </c:dLbls>
        <c:gapWidth val="65"/>
        <c:axId val="443577536"/>
        <c:axId val="443569376"/>
      </c:barChart>
      <c:catAx>
        <c:axId val="4435775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43569376"/>
        <c:crosses val="autoZero"/>
        <c:auto val="1"/>
        <c:lblAlgn val="ctr"/>
        <c:lblOffset val="100"/>
        <c:noMultiLvlLbl val="0"/>
      </c:catAx>
      <c:valAx>
        <c:axId val="4435693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4357753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[hrDataset.xlsx]Salary&amp; Compensations!PivotTable5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male</a:t>
            </a:r>
            <a:r>
              <a:rPr lang="en-IN" baseline="0"/>
              <a:t> female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27559055118112E-2"/>
          <c:y val="0.26961942257217852"/>
          <c:w val="0.7572613735783027"/>
          <c:h val="0.60440769214871759"/>
        </c:manualLayout>
      </c:layout>
      <c:barChart>
        <c:barDir val="bar"/>
        <c:grouping val="clustered"/>
        <c:varyColors val="0"/>
        <c:ser>
          <c:idx val="0"/>
          <c:order val="0"/>
          <c:tx>
            <c:strRef>
              <c:f>'Salary&amp; Compensations'!$I$42</c:f>
              <c:strCache>
                <c:ptCount val="1"/>
                <c:pt idx="0">
                  <c:v>Total</c:v>
                </c:pt>
              </c:strCache>
            </c:strRef>
          </c:tx>
          <c:spPr>
            <a:solidFill>
              <a:schemeClr val="accent1"/>
            </a:solidFill>
            <a:ln>
              <a:noFill/>
            </a:ln>
            <a:effectLst/>
          </c:spPr>
          <c:invertIfNegative val="0"/>
          <c:cat>
            <c:strRef>
              <c:f>'Salary&amp; Compensations'!$H$43:$H$45</c:f>
              <c:strCache>
                <c:ptCount val="2"/>
                <c:pt idx="0">
                  <c:v>F</c:v>
                </c:pt>
                <c:pt idx="1">
                  <c:v>M </c:v>
                </c:pt>
              </c:strCache>
            </c:strRef>
          </c:cat>
          <c:val>
            <c:numRef>
              <c:f>'Salary&amp; Compensations'!$I$43:$I$45</c:f>
              <c:numCache>
                <c:formatCode>General</c:formatCode>
                <c:ptCount val="2"/>
                <c:pt idx="0">
                  <c:v>67786.727272727279</c:v>
                </c:pt>
                <c:pt idx="1">
                  <c:v>70629.399999999994</c:v>
                </c:pt>
              </c:numCache>
            </c:numRef>
          </c:val>
          <c:extLst>
            <c:ext xmlns:c16="http://schemas.microsoft.com/office/drawing/2014/chart" uri="{C3380CC4-5D6E-409C-BE32-E72D297353CC}">
              <c16:uniqueId val="{00000000-BA55-4A5C-B9A2-32EA4535AA50}"/>
            </c:ext>
          </c:extLst>
        </c:ser>
        <c:dLbls>
          <c:showLegendKey val="0"/>
          <c:showVal val="0"/>
          <c:showCatName val="0"/>
          <c:showSerName val="0"/>
          <c:showPercent val="0"/>
          <c:showBubbleSize val="0"/>
        </c:dLbls>
        <c:gapWidth val="182"/>
        <c:axId val="342867536"/>
        <c:axId val="342868016"/>
      </c:barChart>
      <c:catAx>
        <c:axId val="342867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868016"/>
        <c:crosses val="autoZero"/>
        <c:auto val="1"/>
        <c:lblAlgn val="ctr"/>
        <c:lblOffset val="100"/>
        <c:noMultiLvlLbl val="0"/>
      </c:catAx>
      <c:valAx>
        <c:axId val="342868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86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[hrDataset.xlsx]Salary&amp; Compensations!PivotTable4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sa</a:t>
            </a:r>
            <a:r>
              <a:rPr lang="en-IN"/>
              <a:t>lary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2255648701447"/>
          <c:y val="0.30495151647710705"/>
          <c:w val="0.70925196850393701"/>
          <c:h val="0.53774387576552929"/>
        </c:manualLayout>
      </c:layout>
      <c:lineChart>
        <c:grouping val="standard"/>
        <c:varyColors val="0"/>
        <c:ser>
          <c:idx val="0"/>
          <c:order val="0"/>
          <c:tx>
            <c:strRef>
              <c:f>'Salary&amp; Compensations'!$B$64</c:f>
              <c:strCache>
                <c:ptCount val="1"/>
                <c:pt idx="0">
                  <c:v>Total</c:v>
                </c:pt>
              </c:strCache>
            </c:strRef>
          </c:tx>
          <c:spPr>
            <a:ln w="28575" cap="rnd">
              <a:solidFill>
                <a:schemeClr val="accent1"/>
              </a:solidFill>
              <a:round/>
            </a:ln>
            <a:effectLst/>
          </c:spPr>
          <c:marker>
            <c:symbol val="none"/>
          </c:marker>
          <c:cat>
            <c:strRef>
              <c:f>'Salary&amp; Compensations'!$A$65:$A$70</c:f>
              <c:strCache>
                <c:ptCount val="5"/>
                <c:pt idx="0">
                  <c:v>21-30</c:v>
                </c:pt>
                <c:pt idx="1">
                  <c:v>31-40</c:v>
                </c:pt>
                <c:pt idx="2">
                  <c:v>41-50</c:v>
                </c:pt>
                <c:pt idx="3">
                  <c:v>51-60</c:v>
                </c:pt>
                <c:pt idx="4">
                  <c:v>60+</c:v>
                </c:pt>
              </c:strCache>
            </c:strRef>
          </c:cat>
          <c:val>
            <c:numRef>
              <c:f>'Salary&amp; Compensations'!$B$65:$B$70</c:f>
              <c:numCache>
                <c:formatCode>General</c:formatCode>
                <c:ptCount val="5"/>
                <c:pt idx="0">
                  <c:v>58737</c:v>
                </c:pt>
                <c:pt idx="1">
                  <c:v>68621.601307189543</c:v>
                </c:pt>
                <c:pt idx="2">
                  <c:v>68831.877551020414</c:v>
                </c:pt>
                <c:pt idx="3">
                  <c:v>70585.027777777781</c:v>
                </c:pt>
                <c:pt idx="4">
                  <c:v>79510.461538461532</c:v>
                </c:pt>
              </c:numCache>
            </c:numRef>
          </c:val>
          <c:smooth val="0"/>
          <c:extLst>
            <c:ext xmlns:c16="http://schemas.microsoft.com/office/drawing/2014/chart" uri="{C3380CC4-5D6E-409C-BE32-E72D297353CC}">
              <c16:uniqueId val="{00000000-975F-4A59-AD57-3DCFECC73F6B}"/>
            </c:ext>
          </c:extLst>
        </c:ser>
        <c:dLbls>
          <c:showLegendKey val="0"/>
          <c:showVal val="0"/>
          <c:showCatName val="0"/>
          <c:showSerName val="0"/>
          <c:showPercent val="0"/>
          <c:showBubbleSize val="0"/>
        </c:dLbls>
        <c:smooth val="0"/>
        <c:axId val="446559392"/>
        <c:axId val="446512352"/>
      </c:lineChart>
      <c:catAx>
        <c:axId val="446559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512352"/>
        <c:crosses val="autoZero"/>
        <c:auto val="1"/>
        <c:lblAlgn val="ctr"/>
        <c:lblOffset val="100"/>
        <c:noMultiLvlLbl val="0"/>
      </c:catAx>
      <c:valAx>
        <c:axId val="446512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salary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55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[hrDataset.xlsx]Salary&amp; Compensations!PivotTable21</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average salary by state</a:t>
            </a:r>
          </a:p>
        </c:rich>
      </c:tx>
      <c:layout>
        <c:manualLayout>
          <c:xMode val="edge"/>
          <c:yMode val="edge"/>
          <c:x val="0.45602753064177559"/>
          <c:y val="0.12397922672131098"/>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D143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46981627296593"/>
          <c:y val="0.34198855351414403"/>
          <c:w val="0.73578937007874012"/>
          <c:h val="0.53774387576552929"/>
        </c:manualLayout>
      </c:layout>
      <c:barChart>
        <c:barDir val="col"/>
        <c:grouping val="clustered"/>
        <c:varyColors val="0"/>
        <c:ser>
          <c:idx val="0"/>
          <c:order val="0"/>
          <c:tx>
            <c:strRef>
              <c:f>'Salary&amp; Compensations'!$I$64</c:f>
              <c:strCache>
                <c:ptCount val="1"/>
                <c:pt idx="0">
                  <c:v>Total</c:v>
                </c:pt>
              </c:strCache>
            </c:strRef>
          </c:tx>
          <c:spPr>
            <a:pattFill prst="ltUpDiag">
              <a:fgClr>
                <a:schemeClr val="accent1"/>
              </a:fgClr>
              <a:bgClr>
                <a:schemeClr val="lt1"/>
              </a:bgClr>
            </a:pattFill>
            <a:ln>
              <a:noFill/>
            </a:ln>
            <a:effectLst/>
          </c:spPr>
          <c:invertIfNegative val="0"/>
          <c:cat>
            <c:strRef>
              <c:f>'Salary&amp; Compensations'!$H$65:$H$93</c:f>
              <c:strCache>
                <c:ptCount val="28"/>
                <c:pt idx="0">
                  <c:v>AL</c:v>
                </c:pt>
                <c:pt idx="1">
                  <c:v>AZ</c:v>
                </c:pt>
                <c:pt idx="2">
                  <c:v>CA</c:v>
                </c:pt>
                <c:pt idx="3">
                  <c:v>CO</c:v>
                </c:pt>
                <c:pt idx="4">
                  <c:v>CT</c:v>
                </c:pt>
                <c:pt idx="5">
                  <c:v>FL</c:v>
                </c:pt>
                <c:pt idx="6">
                  <c:v>GA</c:v>
                </c:pt>
                <c:pt idx="7">
                  <c:v>ID</c:v>
                </c:pt>
                <c:pt idx="8">
                  <c:v>IN</c:v>
                </c:pt>
                <c:pt idx="9">
                  <c:v>KY</c:v>
                </c:pt>
                <c:pt idx="10">
                  <c:v>MA</c:v>
                </c:pt>
                <c:pt idx="11">
                  <c:v>ME</c:v>
                </c:pt>
                <c:pt idx="12">
                  <c:v>MT</c:v>
                </c:pt>
                <c:pt idx="13">
                  <c:v>NC</c:v>
                </c:pt>
                <c:pt idx="14">
                  <c:v>ND</c:v>
                </c:pt>
                <c:pt idx="15">
                  <c:v>NH</c:v>
                </c:pt>
                <c:pt idx="16">
                  <c:v>NV</c:v>
                </c:pt>
                <c:pt idx="17">
                  <c:v>NY</c:v>
                </c:pt>
                <c:pt idx="18">
                  <c:v>OH</c:v>
                </c:pt>
                <c:pt idx="19">
                  <c:v>OR</c:v>
                </c:pt>
                <c:pt idx="20">
                  <c:v>PA</c:v>
                </c:pt>
                <c:pt idx="21">
                  <c:v>RI</c:v>
                </c:pt>
                <c:pt idx="22">
                  <c:v>TN</c:v>
                </c:pt>
                <c:pt idx="23">
                  <c:v>TX</c:v>
                </c:pt>
                <c:pt idx="24">
                  <c:v>UT</c:v>
                </c:pt>
                <c:pt idx="25">
                  <c:v>VA</c:v>
                </c:pt>
                <c:pt idx="26">
                  <c:v>VT</c:v>
                </c:pt>
                <c:pt idx="27">
                  <c:v>WA</c:v>
                </c:pt>
              </c:strCache>
            </c:strRef>
          </c:cat>
          <c:val>
            <c:numRef>
              <c:f>'Salary&amp; Compensations'!$I$65:$I$93</c:f>
              <c:numCache>
                <c:formatCode>General</c:formatCode>
                <c:ptCount val="28"/>
                <c:pt idx="0">
                  <c:v>61568</c:v>
                </c:pt>
                <c:pt idx="1">
                  <c:v>57859</c:v>
                </c:pt>
                <c:pt idx="2">
                  <c:v>74241</c:v>
                </c:pt>
                <c:pt idx="3">
                  <c:v>65310</c:v>
                </c:pt>
                <c:pt idx="4">
                  <c:v>77617.5</c:v>
                </c:pt>
                <c:pt idx="5">
                  <c:v>63051</c:v>
                </c:pt>
                <c:pt idx="6">
                  <c:v>63695</c:v>
                </c:pt>
                <c:pt idx="7">
                  <c:v>61809</c:v>
                </c:pt>
                <c:pt idx="8">
                  <c:v>61555</c:v>
                </c:pt>
                <c:pt idx="9">
                  <c:v>61844</c:v>
                </c:pt>
                <c:pt idx="10">
                  <c:v>68756.996376811599</c:v>
                </c:pt>
                <c:pt idx="11">
                  <c:v>55875</c:v>
                </c:pt>
                <c:pt idx="12">
                  <c:v>60120</c:v>
                </c:pt>
                <c:pt idx="13">
                  <c:v>68829</c:v>
                </c:pt>
                <c:pt idx="14">
                  <c:v>64397</c:v>
                </c:pt>
                <c:pt idx="15">
                  <c:v>70545</c:v>
                </c:pt>
                <c:pt idx="16">
                  <c:v>58273</c:v>
                </c:pt>
                <c:pt idx="17">
                  <c:v>71339</c:v>
                </c:pt>
                <c:pt idx="18">
                  <c:v>59370</c:v>
                </c:pt>
                <c:pt idx="19">
                  <c:v>58370</c:v>
                </c:pt>
                <c:pt idx="20">
                  <c:v>68999</c:v>
                </c:pt>
                <c:pt idx="21">
                  <c:v>180000</c:v>
                </c:pt>
                <c:pt idx="22">
                  <c:v>71707</c:v>
                </c:pt>
                <c:pt idx="23">
                  <c:v>74142.333333333328</c:v>
                </c:pt>
                <c:pt idx="24">
                  <c:v>70468</c:v>
                </c:pt>
                <c:pt idx="25">
                  <c:v>74326</c:v>
                </c:pt>
                <c:pt idx="26">
                  <c:v>68794.5</c:v>
                </c:pt>
                <c:pt idx="27">
                  <c:v>59231</c:v>
                </c:pt>
              </c:numCache>
            </c:numRef>
          </c:val>
          <c:extLst>
            <c:ext xmlns:c16="http://schemas.microsoft.com/office/drawing/2014/chart" uri="{C3380CC4-5D6E-409C-BE32-E72D297353CC}">
              <c16:uniqueId val="{00000000-234A-4E4C-8840-254262E576BD}"/>
            </c:ext>
          </c:extLst>
        </c:ser>
        <c:dLbls>
          <c:showLegendKey val="0"/>
          <c:showVal val="0"/>
          <c:showCatName val="0"/>
          <c:showSerName val="0"/>
          <c:showPercent val="0"/>
          <c:showBubbleSize val="0"/>
        </c:dLbls>
        <c:gapWidth val="269"/>
        <c:overlap val="-20"/>
        <c:axId val="443589536"/>
        <c:axId val="443590016"/>
      </c:barChart>
      <c:catAx>
        <c:axId val="44358953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43590016"/>
        <c:crosses val="autoZero"/>
        <c:auto val="1"/>
        <c:lblAlgn val="ctr"/>
        <c:lblOffset val="100"/>
        <c:noMultiLvlLbl val="0"/>
      </c:catAx>
      <c:valAx>
        <c:axId val="443590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4358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[hrDataset.xlsx]Salary&amp; Compensations!PivotTable6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absence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'Salary&amp; Compensations'!$B$102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72D-4EA7-9996-DE0AC96E4E8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72D-4EA7-9996-DE0AC96E4E8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72D-4EA7-9996-DE0AC96E4E8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72D-4EA7-9996-DE0AC96E4E8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72D-4EA7-9996-DE0AC96E4E80}"/>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72D-4EA7-9996-DE0AC96E4E8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'Salary&amp; Compensations'!$A$103:$A$109</c:f>
              <c:strCache>
                <c:ptCount val="6"/>
                <c:pt idx="0">
                  <c:v>Admin Offices</c:v>
                </c:pt>
                <c:pt idx="1">
                  <c:v>Executive Office</c:v>
                </c:pt>
                <c:pt idx="2">
                  <c:v>IT/IS</c:v>
                </c:pt>
                <c:pt idx="3">
                  <c:v>Production       </c:v>
                </c:pt>
                <c:pt idx="4">
                  <c:v>Sales</c:v>
                </c:pt>
                <c:pt idx="5">
                  <c:v>Software Engineering</c:v>
                </c:pt>
              </c:strCache>
            </c:strRef>
          </c:cat>
          <c:val>
            <c:numRef>
              <c:f>'Salary&amp; Compensations'!$B$103:$B$109</c:f>
              <c:numCache>
                <c:formatCode>General</c:formatCode>
                <c:ptCount val="6"/>
                <c:pt idx="0">
                  <c:v>8.6666666666666661</c:v>
                </c:pt>
                <c:pt idx="1">
                  <c:v>10</c:v>
                </c:pt>
                <c:pt idx="2">
                  <c:v>10.44</c:v>
                </c:pt>
                <c:pt idx="3">
                  <c:v>10.14354066985646</c:v>
                </c:pt>
                <c:pt idx="4">
                  <c:v>11.548387096774194</c:v>
                </c:pt>
                <c:pt idx="5">
                  <c:v>8.7272727272727266</c:v>
                </c:pt>
              </c:numCache>
            </c:numRef>
          </c:val>
          <c:extLst>
            <c:ext xmlns:c16="http://schemas.microsoft.com/office/drawing/2014/chart" uri="{C3380CC4-5D6E-409C-BE32-E72D297353CC}">
              <c16:uniqueId val="{00000000-C0EA-4DF7-9564-764A03DE3F8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[hrDataset.xlsx]Salary&amp; Compensations!PivotTable7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average no of absence by age group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'Salary&amp; Compensations'!$J$102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9C9-489F-A337-2C30E114C62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9C9-489F-A337-2C30E114C62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9C9-489F-A337-2C30E114C62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9C9-489F-A337-2C30E114C62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9C9-489F-A337-2C30E114C62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'Salary&amp; Compensations'!$I$103:$I$108</c:f>
              <c:strCache>
                <c:ptCount val="5"/>
                <c:pt idx="0">
                  <c:v>21-30</c:v>
                </c:pt>
                <c:pt idx="1">
                  <c:v>31-40</c:v>
                </c:pt>
                <c:pt idx="2">
                  <c:v>41-50</c:v>
                </c:pt>
                <c:pt idx="3">
                  <c:v>51-60</c:v>
                </c:pt>
                <c:pt idx="4">
                  <c:v>60+</c:v>
                </c:pt>
              </c:strCache>
            </c:strRef>
          </c:cat>
          <c:val>
            <c:numRef>
              <c:f>'Salary&amp; Compensations'!$J$103:$J$108</c:f>
              <c:numCache>
                <c:formatCode>General</c:formatCode>
                <c:ptCount val="5"/>
                <c:pt idx="0">
                  <c:v>9.1818181818181817</c:v>
                </c:pt>
                <c:pt idx="1">
                  <c:v>10.516339869281046</c:v>
                </c:pt>
                <c:pt idx="2">
                  <c:v>10.163265306122449</c:v>
                </c:pt>
                <c:pt idx="3">
                  <c:v>10.166666666666666</c:v>
                </c:pt>
                <c:pt idx="4">
                  <c:v>8.615384615384615</c:v>
                </c:pt>
              </c:numCache>
            </c:numRef>
          </c:val>
          <c:extLst>
            <c:ext xmlns:c16="http://schemas.microsoft.com/office/drawing/2014/chart" uri="{C3380CC4-5D6E-409C-BE32-E72D297353CC}">
              <c16:uniqueId val="{00000000-799D-4E86-B60F-51A1925B0C7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[hrDataset.xlsx]Department &amp; Position!PivotTable1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employees in each depatement</a:t>
            </a:r>
            <a:endParaRPr lang="en-US"/>
          </a:p>
        </c:rich>
      </c:tx>
      <c:layout>
        <c:manualLayout>
          <c:xMode val="edge"/>
          <c:yMode val="edge"/>
          <c:x val="0.13223753280839895"/>
          <c:y val="5.63543613468549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707203266258391E-2"/>
          <c:y val="0.2405317769130999"/>
          <c:w val="0.75328448527267422"/>
          <c:h val="0.36039094334998006"/>
        </c:manualLayout>
      </c:layout>
      <c:barChart>
        <c:barDir val="col"/>
        <c:grouping val="clustered"/>
        <c:varyColors val="0"/>
        <c:ser>
          <c:idx val="0"/>
          <c:order val="0"/>
          <c:tx>
            <c:strRef>
              <c:f>'Department &amp; Position'!$B$24</c:f>
              <c:strCache>
                <c:ptCount val="1"/>
                <c:pt idx="0">
                  <c:v>Total</c:v>
                </c:pt>
              </c:strCache>
            </c:strRef>
          </c:tx>
          <c:spPr>
            <a:solidFill>
              <a:schemeClr val="accent1"/>
            </a:solidFill>
            <a:ln>
              <a:noFill/>
            </a:ln>
            <a:effectLst/>
          </c:spPr>
          <c:invertIfNegative val="0"/>
          <c:cat>
            <c:strRef>
              <c:f>'Department &amp; Position'!$A$25:$A$31</c:f>
              <c:strCache>
                <c:ptCount val="6"/>
                <c:pt idx="0">
                  <c:v>Admin Offices</c:v>
                </c:pt>
                <c:pt idx="1">
                  <c:v>Executive Office</c:v>
                </c:pt>
                <c:pt idx="2">
                  <c:v>IT/IS</c:v>
                </c:pt>
                <c:pt idx="3">
                  <c:v>Production       </c:v>
                </c:pt>
                <c:pt idx="4">
                  <c:v>Sales</c:v>
                </c:pt>
                <c:pt idx="5">
                  <c:v>Software Engineering</c:v>
                </c:pt>
              </c:strCache>
            </c:strRef>
          </c:cat>
          <c:val>
            <c:numRef>
              <c:f>'Department &amp; Position'!$B$25:$B$31</c:f>
              <c:numCache>
                <c:formatCode>General</c:formatCode>
                <c:ptCount val="6"/>
                <c:pt idx="0">
                  <c:v>9</c:v>
                </c:pt>
                <c:pt idx="1">
                  <c:v>1</c:v>
                </c:pt>
                <c:pt idx="2">
                  <c:v>50</c:v>
                </c:pt>
                <c:pt idx="3">
                  <c:v>209</c:v>
                </c:pt>
                <c:pt idx="4">
                  <c:v>31</c:v>
                </c:pt>
                <c:pt idx="5">
                  <c:v>11</c:v>
                </c:pt>
              </c:numCache>
            </c:numRef>
          </c:val>
          <c:extLst>
            <c:ext xmlns:c16="http://schemas.microsoft.com/office/drawing/2014/chart" uri="{C3380CC4-5D6E-409C-BE32-E72D297353CC}">
              <c16:uniqueId val="{00000000-50BA-4C13-9B6C-90420043B6AD}"/>
            </c:ext>
          </c:extLst>
        </c:ser>
        <c:dLbls>
          <c:showLegendKey val="0"/>
          <c:showVal val="0"/>
          <c:showCatName val="0"/>
          <c:showSerName val="0"/>
          <c:showPercent val="0"/>
          <c:showBubbleSize val="0"/>
        </c:dLbls>
        <c:gapWidth val="219"/>
        <c:overlap val="-27"/>
        <c:axId val="1871734079"/>
        <c:axId val="1871734559"/>
      </c:barChart>
      <c:catAx>
        <c:axId val="187173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734559"/>
        <c:crosses val="autoZero"/>
        <c:auto val="1"/>
        <c:lblAlgn val="ctr"/>
        <c:lblOffset val="100"/>
        <c:noMultiLvlLbl val="0"/>
      </c:catAx>
      <c:valAx>
        <c:axId val="1871734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73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[hrDataset.xlsx]Department &amp; Position!PivotTable11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7499753657072728"/>
          <c:y val="0.29106262758821816"/>
          <c:w val="0.76838502055843705"/>
          <c:h val="0.53774387576552929"/>
        </c:manualLayout>
      </c:layout>
      <c:pieChart>
        <c:varyColors val="1"/>
        <c:ser>
          <c:idx val="0"/>
          <c:order val="0"/>
          <c:tx>
            <c:strRef>
              <c:f>'Department &amp; Position'!$H$24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78-4CFB-A5C8-0C1E9E0234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78-4CFB-A5C8-0C1E9E0234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78-4CFB-A5C8-0C1E9E0234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078-4CFB-A5C8-0C1E9E0234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'Department &amp; Position'!$G$25:$G$30</c:f>
              <c:multiLvlStrCache>
                <c:ptCount val="4"/>
                <c:lvl>
                  <c:pt idx="0">
                    <c:v>Accountant I</c:v>
                  </c:pt>
                  <c:pt idx="1">
                    <c:v>Director of Sales</c:v>
                  </c:pt>
                  <c:pt idx="2">
                    <c:v>IT Director</c:v>
                  </c:pt>
                  <c:pt idx="3">
                    <c:v>Sales Manager</c:v>
                  </c:pt>
                </c:lvl>
                <c:lvl>
                  <c:pt idx="0">
                    <c:v>lowest count</c:v>
                  </c:pt>
                </c:lvl>
              </c:multiLvlStrCache>
            </c:multiLvlStrRef>
          </c:cat>
          <c:val>
            <c:numRef>
              <c:f>'Department &amp; Position'!$H$25:$H$30</c:f>
              <c:numCache>
                <c:formatCode>General</c:formatCode>
                <c:ptCount val="4"/>
                <c:pt idx="0">
                  <c:v>3</c:v>
                </c:pt>
                <c:pt idx="1">
                  <c:v>1</c:v>
                </c:pt>
                <c:pt idx="2">
                  <c:v>1</c:v>
                </c:pt>
                <c:pt idx="3">
                  <c:v>3</c:v>
                </c:pt>
              </c:numCache>
            </c:numRef>
          </c:val>
          <c:extLst>
            <c:ext xmlns:c16="http://schemas.microsoft.com/office/drawing/2014/chart" uri="{C3380CC4-5D6E-409C-BE32-E72D297353CC}">
              <c16:uniqueId val="{00000000-D222-47A2-8B2C-699F569A1BA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3.8557213930348277E-2"/>
          <c:y val="0.28601906045166814"/>
          <c:w val="0.32208371447874257"/>
          <c:h val="0.659542156160961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[hrDataset.xlsx]Department &amp; Position!PivotTable12</c:name>
    <c:fmtId val="0"/>
  </c:pivotSource>
  <c:chart>
    <c:title>
      <c:layout>
        <c:manualLayout>
          <c:xMode val="edge"/>
          <c:yMode val="edge"/>
          <c:x val="0.48694444444444446"/>
          <c:y val="0.1054607757363662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317500" algn="ctr" rotWithShape="0">
              <a:prstClr val="black">
                <a:alpha val="25000"/>
              </a:prstClr>
            </a:outerShdw>
          </a:effectLst>
        </c:spPr>
        <c:dLbl>
          <c:idx val="0"/>
          <c:layout>
            <c:manualLayout>
              <c:x val="-0.15486725663716813"/>
              <c:y val="-5.9737156511350066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outerShdw blurRad="317500" algn="ctr" rotWithShape="0">
              <a:prstClr val="black">
                <a:alpha val="25000"/>
              </a:prstClr>
            </a:outerShdw>
          </a:effectLst>
        </c:spPr>
        <c:dLbl>
          <c:idx val="0"/>
          <c:layout>
            <c:manualLayout>
              <c:x val="0.28392330383480835"/>
              <c:y val="-7.765830346475508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outerShdw blurRad="317500" algn="ctr" rotWithShape="0">
              <a:prstClr val="black">
                <a:alpha val="25000"/>
              </a:prstClr>
            </a:outerShdw>
          </a:effectLst>
        </c:spPr>
        <c:dLbl>
          <c:idx val="0"/>
          <c:layout>
            <c:manualLayout>
              <c:x val="3.6873156342182552E-3"/>
              <c:y val="-7.1684587813620068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outerShdw blurRad="317500" algn="ctr" rotWithShape="0">
              <a:prstClr val="black">
                <a:alpha val="25000"/>
              </a:prstClr>
            </a:outerShdw>
          </a:effectLst>
        </c:spPr>
        <c:dLbl>
          <c:idx val="0"/>
          <c:layout>
            <c:manualLayout>
              <c:x val="-0.12536873156342182"/>
              <c:y val="0.17921146953405018"/>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'Department &amp; Position'!$B$44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6B54-4E95-9923-EB871CFD947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B54-4E95-9923-EB871CFD947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433-4A3D-BB5C-12523D7C192A}"/>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433-4A3D-BB5C-12523D7C192A}"/>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B54-4E95-9923-EB871CFD9474}"/>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6B54-4E95-9923-EB871CFD9474}"/>
              </c:ext>
            </c:extLst>
          </c:dPt>
          <c:dLbls>
            <c:dLbl>
              <c:idx val="0"/>
              <c:layout>
                <c:manualLayout>
                  <c:x val="3.6873156342182552E-3"/>
                  <c:y val="-7.168458781362006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B54-4E95-9923-EB871CFD9474}"/>
                </c:ext>
              </c:extLst>
            </c:dLbl>
            <c:dLbl>
              <c:idx val="1"/>
              <c:layout>
                <c:manualLayout>
                  <c:x val="0.28392330383480835"/>
                  <c:y val="-7.76583034647550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B54-4E95-9923-EB871CFD9474}"/>
                </c:ext>
              </c:extLst>
            </c:dLbl>
            <c:dLbl>
              <c:idx val="4"/>
              <c:layout>
                <c:manualLayout>
                  <c:x val="-0.12536873156342182"/>
                  <c:y val="0.1792114695340501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B54-4E95-9923-EB871CFD9474}"/>
                </c:ext>
              </c:extLst>
            </c:dLbl>
            <c:dLbl>
              <c:idx val="5"/>
              <c:layout>
                <c:manualLayout>
                  <c:x val="-0.15486725663716813"/>
                  <c:y val="-5.973715651135006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B54-4E95-9923-EB871CFD9474}"/>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'Department &amp; Position'!$A$45:$A$51</c:f>
              <c:strCache>
                <c:ptCount val="6"/>
                <c:pt idx="0">
                  <c:v>Admin Offices</c:v>
                </c:pt>
                <c:pt idx="1">
                  <c:v>Executive Office</c:v>
                </c:pt>
                <c:pt idx="2">
                  <c:v>IT/IS</c:v>
                </c:pt>
                <c:pt idx="3">
                  <c:v>Production       </c:v>
                </c:pt>
                <c:pt idx="4">
                  <c:v>Sales</c:v>
                </c:pt>
                <c:pt idx="5">
                  <c:v>Software Engineering</c:v>
                </c:pt>
              </c:strCache>
            </c:strRef>
          </c:cat>
          <c:val>
            <c:numRef>
              <c:f>'Department &amp; Position'!$B$45:$B$51</c:f>
              <c:numCache>
                <c:formatCode>General</c:formatCode>
                <c:ptCount val="6"/>
                <c:pt idx="0">
                  <c:v>9</c:v>
                </c:pt>
                <c:pt idx="1">
                  <c:v>1</c:v>
                </c:pt>
                <c:pt idx="2">
                  <c:v>50</c:v>
                </c:pt>
                <c:pt idx="3">
                  <c:v>209</c:v>
                </c:pt>
                <c:pt idx="4">
                  <c:v>31</c:v>
                </c:pt>
                <c:pt idx="5">
                  <c:v>11</c:v>
                </c:pt>
              </c:numCache>
            </c:numRef>
          </c:val>
          <c:extLst>
            <c:ext xmlns:c16="http://schemas.microsoft.com/office/drawing/2014/chart" uri="{C3380CC4-5D6E-409C-BE32-E72D297353CC}">
              <c16:uniqueId val="{00000000-6B54-4E95-9923-EB871CFD947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[hrDataset.xlsx]Department &amp; Position!PivotTable2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recruitement data</a:t>
            </a:r>
          </a:p>
        </c:rich>
      </c:tx>
      <c:layout>
        <c:manualLayout>
          <c:xMode val="edge"/>
          <c:yMode val="edge"/>
          <c:x val="0.39250000000000007"/>
          <c:y val="6.379410906969962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&amp; Position'!$H$44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'Department &amp; Position'!$G$45:$G$54</c:f>
              <c:strCache>
                <c:ptCount val="9"/>
                <c:pt idx="0">
                  <c:v>CareerBuilder</c:v>
                </c:pt>
                <c:pt idx="1">
                  <c:v>Diversity Job Fair</c:v>
                </c:pt>
                <c:pt idx="2">
                  <c:v>Employee Referral</c:v>
                </c:pt>
                <c:pt idx="3">
                  <c:v>Google Search</c:v>
                </c:pt>
                <c:pt idx="4">
                  <c:v>Indeed</c:v>
                </c:pt>
                <c:pt idx="5">
                  <c:v>LinkedIn</c:v>
                </c:pt>
                <c:pt idx="6">
                  <c:v>On-line Web application</c:v>
                </c:pt>
                <c:pt idx="7">
                  <c:v>Other</c:v>
                </c:pt>
                <c:pt idx="8">
                  <c:v>Website</c:v>
                </c:pt>
              </c:strCache>
            </c:strRef>
          </c:cat>
          <c:val>
            <c:numRef>
              <c:f>'Department &amp; Position'!$H$45:$H$54</c:f>
              <c:numCache>
                <c:formatCode>General</c:formatCode>
                <c:ptCount val="9"/>
                <c:pt idx="0">
                  <c:v>23</c:v>
                </c:pt>
                <c:pt idx="1">
                  <c:v>29</c:v>
                </c:pt>
                <c:pt idx="2">
                  <c:v>31</c:v>
                </c:pt>
                <c:pt idx="3">
                  <c:v>49</c:v>
                </c:pt>
                <c:pt idx="4">
                  <c:v>87</c:v>
                </c:pt>
                <c:pt idx="5">
                  <c:v>76</c:v>
                </c:pt>
                <c:pt idx="6">
                  <c:v>1</c:v>
                </c:pt>
                <c:pt idx="7">
                  <c:v>2</c:v>
                </c:pt>
                <c:pt idx="8">
                  <c:v>13</c:v>
                </c:pt>
              </c:numCache>
            </c:numRef>
          </c:val>
          <c:extLst>
            <c:ext xmlns:c16="http://schemas.microsoft.com/office/drawing/2014/chart" uri="{C3380CC4-5D6E-409C-BE32-E72D297353CC}">
              <c16:uniqueId val="{00000000-791B-4F74-B6B7-35E94253AE61}"/>
            </c:ext>
          </c:extLst>
        </c:ser>
        <c:dLbls>
          <c:dLblPos val="inEnd"/>
          <c:showLegendKey val="0"/>
          <c:showVal val="1"/>
          <c:showCatName val="0"/>
          <c:showSerName val="0"/>
          <c:showPercent val="0"/>
          <c:showBubbleSize val="0"/>
        </c:dLbls>
        <c:gapWidth val="65"/>
        <c:axId val="1803681167"/>
        <c:axId val="1803689807"/>
      </c:barChart>
      <c:catAx>
        <c:axId val="18036811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03689807"/>
        <c:crosses val="autoZero"/>
        <c:auto val="1"/>
        <c:lblAlgn val="ctr"/>
        <c:lblOffset val="100"/>
        <c:noMultiLvlLbl val="0"/>
      </c:catAx>
      <c:valAx>
        <c:axId val="18036898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0368116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[hrDataset.xlsx]Department &amp; Position!PivotTable3</c:name>
    <c:fmtId val="0"/>
  </c:pivotSource>
  <c:chart>
    <c:title>
      <c:tx>
        <c:rich>
          <a:bodyPr rot="0" spcFirstLastPara="1" vertOverflow="ellipsis" vert="horz" wrap="square" anchor="ctr" anchorCtr="1"/>
          <a:lstStyle/>
          <a:p>
            <a:pPr algn="r">
              <a:defRPr sz="1800" b="1" i="0" u="none" strike="noStrike" kern="1200" baseline="0">
                <a:solidFill>
                  <a:schemeClr val="dk1">
                    <a:lumMod val="75000"/>
                    <a:lumOff val="25000"/>
                  </a:schemeClr>
                </a:solidFill>
                <a:latin typeface="+mn-lt"/>
                <a:ea typeface="+mn-ea"/>
                <a:cs typeface="+mn-cs"/>
              </a:defRPr>
            </a:pPr>
            <a:r>
              <a:rPr lang="en-IN"/>
              <a:t>Top</a:t>
            </a:r>
            <a:r>
              <a:rPr lang="en-IN" baseline="0"/>
              <a:t> 3 Recruitment</a:t>
            </a:r>
            <a:endParaRPr lang="en-IN"/>
          </a:p>
        </c:rich>
      </c:tx>
      <c:layout>
        <c:manualLayout>
          <c:xMode val="edge"/>
          <c:yMode val="edge"/>
          <c:x val="0.29785380225122859"/>
          <c:y val="0.14609671336091171"/>
        </c:manualLayout>
      </c:layout>
      <c:overlay val="0"/>
      <c:spPr>
        <a:noFill/>
        <a:ln>
          <a:noFill/>
        </a:ln>
        <a:effectLst/>
      </c:spPr>
      <c:txPr>
        <a:bodyPr rot="0" spcFirstLastPara="1" vertOverflow="ellipsis" vert="horz" wrap="square" anchor="ctr" anchorCtr="1"/>
        <a:lstStyle/>
        <a:p>
          <a:pPr algn="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692038495188095E-2"/>
          <c:y val="0.25402559055118112"/>
          <c:w val="0.73458530183727033"/>
          <c:h val="0.53774387576552929"/>
        </c:manualLayout>
      </c:layout>
      <c:lineChart>
        <c:grouping val="standard"/>
        <c:varyColors val="0"/>
        <c:ser>
          <c:idx val="0"/>
          <c:order val="0"/>
          <c:tx>
            <c:strRef>
              <c:f>'Department &amp; Position'!$B$71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'Department &amp; Position'!$A$72:$A$75</c:f>
              <c:strCache>
                <c:ptCount val="3"/>
                <c:pt idx="0">
                  <c:v>Google Search</c:v>
                </c:pt>
                <c:pt idx="1">
                  <c:v>Indeed</c:v>
                </c:pt>
                <c:pt idx="2">
                  <c:v>LinkedIn</c:v>
                </c:pt>
              </c:strCache>
            </c:strRef>
          </c:cat>
          <c:val>
            <c:numRef>
              <c:f>'Department &amp; Position'!$B$72:$B$75</c:f>
              <c:numCache>
                <c:formatCode>General</c:formatCode>
                <c:ptCount val="3"/>
                <c:pt idx="0">
                  <c:v>49</c:v>
                </c:pt>
                <c:pt idx="1">
                  <c:v>87</c:v>
                </c:pt>
                <c:pt idx="2">
                  <c:v>76</c:v>
                </c:pt>
              </c:numCache>
            </c:numRef>
          </c:val>
          <c:smooth val="0"/>
          <c:extLst>
            <c:ext xmlns:c16="http://schemas.microsoft.com/office/drawing/2014/chart" uri="{C3380CC4-5D6E-409C-BE32-E72D297353CC}">
              <c16:uniqueId val="{00000000-2A3A-4378-8C91-0A34585DD598}"/>
            </c:ext>
          </c:extLst>
        </c:ser>
        <c:dLbls>
          <c:dLblPos val="ctr"/>
          <c:showLegendKey val="0"/>
          <c:showVal val="1"/>
          <c:showCatName val="0"/>
          <c:showSerName val="0"/>
          <c:showPercent val="0"/>
          <c:showBubbleSize val="0"/>
        </c:dLbls>
        <c:marker val="1"/>
        <c:smooth val="0"/>
        <c:axId val="1979552079"/>
        <c:axId val="1979561679"/>
      </c:lineChart>
      <c:catAx>
        <c:axId val="19795520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9561679"/>
        <c:crosses val="autoZero"/>
        <c:auto val="1"/>
        <c:lblAlgn val="ctr"/>
        <c:lblOffset val="100"/>
        <c:noMultiLvlLbl val="0"/>
      </c:catAx>
      <c:valAx>
        <c:axId val="197956167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795520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[hrDataset.xlsx]Department &amp; Position!PivotTable4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 Score</a:t>
            </a:r>
          </a:p>
        </c:rich>
      </c:tx>
      <c:layout>
        <c:manualLayout>
          <c:xMode val="edge"/>
          <c:yMode val="edge"/>
          <c:x val="0.45083333333333336"/>
          <c:y val="0.1424978127734033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&amp; Position'!$H$71</c:f>
              <c:strCache>
                <c:ptCount val="1"/>
                <c:pt idx="0">
                  <c:v>Total</c:v>
                </c:pt>
              </c:strCache>
            </c:strRef>
          </c:tx>
          <c:spPr>
            <a:solidFill>
              <a:schemeClr val="accent1"/>
            </a:solidFill>
            <a:ln>
              <a:noFill/>
            </a:ln>
            <a:effectLst/>
          </c:spPr>
          <c:invertIfNegative val="0"/>
          <c:cat>
            <c:strRef>
              <c:f>'Department &amp; Position'!$G$72:$G$76</c:f>
              <c:strCache>
                <c:ptCount val="4"/>
                <c:pt idx="0">
                  <c:v>Exceeds</c:v>
                </c:pt>
                <c:pt idx="1">
                  <c:v>Fully Meets</c:v>
                </c:pt>
                <c:pt idx="2">
                  <c:v>Needs Improvement</c:v>
                </c:pt>
                <c:pt idx="3">
                  <c:v>PIP</c:v>
                </c:pt>
              </c:strCache>
            </c:strRef>
          </c:cat>
          <c:val>
            <c:numRef>
              <c:f>'Department &amp; Position'!$H$72:$H$76</c:f>
              <c:numCache>
                <c:formatCode>General</c:formatCode>
                <c:ptCount val="4"/>
                <c:pt idx="0">
                  <c:v>37</c:v>
                </c:pt>
                <c:pt idx="1">
                  <c:v>243</c:v>
                </c:pt>
                <c:pt idx="2">
                  <c:v>18</c:v>
                </c:pt>
                <c:pt idx="3">
                  <c:v>13</c:v>
                </c:pt>
              </c:numCache>
            </c:numRef>
          </c:val>
          <c:extLst>
            <c:ext xmlns:c16="http://schemas.microsoft.com/office/drawing/2014/chart" uri="{C3380CC4-5D6E-409C-BE32-E72D297353CC}">
              <c16:uniqueId val="{00000000-104F-4D68-B8D0-FCED7B925197}"/>
            </c:ext>
          </c:extLst>
        </c:ser>
        <c:dLbls>
          <c:showLegendKey val="0"/>
          <c:showVal val="0"/>
          <c:showCatName val="0"/>
          <c:showSerName val="0"/>
          <c:showPercent val="0"/>
          <c:showBubbleSize val="0"/>
        </c:dLbls>
        <c:gapWidth val="219"/>
        <c:overlap val="-27"/>
        <c:axId val="1979563599"/>
        <c:axId val="1979553999"/>
      </c:barChart>
      <c:catAx>
        <c:axId val="197956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553999"/>
        <c:crosses val="autoZero"/>
        <c:auto val="1"/>
        <c:lblAlgn val="ctr"/>
        <c:lblOffset val="100"/>
        <c:noMultiLvlLbl val="0"/>
      </c:catAx>
      <c:valAx>
        <c:axId val="1979553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56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[hrDataset.xlsx]Department &amp; Position!PivotTable5</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Average</a:t>
            </a:r>
            <a:r>
              <a:rPr lang="en-US" baseline="0"/>
              <a:t> Engagement survey</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'Department &amp; Position'!$B$93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374-4280-83BD-3EADBE0A9D8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374-4280-83BD-3EADBE0A9D8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374-4280-83BD-3EADBE0A9D8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374-4280-83BD-3EADBE0A9D8A}"/>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374-4280-83BD-3EADBE0A9D8A}"/>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1374-4280-83BD-3EADBE0A9D8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&amp; Position'!$A$94:$A$100</c:f>
              <c:strCache>
                <c:ptCount val="6"/>
                <c:pt idx="0">
                  <c:v>Admin Offices</c:v>
                </c:pt>
                <c:pt idx="1">
                  <c:v>Executive Office</c:v>
                </c:pt>
                <c:pt idx="2">
                  <c:v>IT/IS</c:v>
                </c:pt>
                <c:pt idx="3">
                  <c:v>Production       </c:v>
                </c:pt>
                <c:pt idx="4">
                  <c:v>Sales</c:v>
                </c:pt>
                <c:pt idx="5">
                  <c:v>Software Engineering</c:v>
                </c:pt>
              </c:strCache>
            </c:strRef>
          </c:cat>
          <c:val>
            <c:numRef>
              <c:f>'Department &amp; Position'!$B$94:$B$100</c:f>
              <c:numCache>
                <c:formatCode>General</c:formatCode>
                <c:ptCount val="6"/>
                <c:pt idx="0">
                  <c:v>4.3933333333333335</c:v>
                </c:pt>
                <c:pt idx="1">
                  <c:v>4.83</c:v>
                </c:pt>
                <c:pt idx="2">
                  <c:v>4.1539999999999999</c:v>
                </c:pt>
                <c:pt idx="3">
                  <c:v>4.129569377990431</c:v>
                </c:pt>
                <c:pt idx="4">
                  <c:v>3.818709677419355</c:v>
                </c:pt>
                <c:pt idx="5">
                  <c:v>4.0618181818181824</c:v>
                </c:pt>
              </c:numCache>
            </c:numRef>
          </c:val>
          <c:extLst>
            <c:ext xmlns:c16="http://schemas.microsoft.com/office/drawing/2014/chart" uri="{C3380CC4-5D6E-409C-BE32-E72D297353CC}">
              <c16:uniqueId val="{00000000-AE87-4472-AEE8-99F8E900DE4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[hrDataset.xlsx]Department &amp; Position!PivotTable6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a:t>
            </a:r>
            <a:r>
              <a:rPr lang="en-US" baseline="0"/>
              <a:t> Satisfaction score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'Department &amp; Position'!$H$93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187-4AC3-BBB9-57441FC54F5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187-4AC3-BBB9-57441FC54F5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187-4AC3-BBB9-57441FC54F5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187-4AC3-BBB9-57441FC54F5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187-4AC3-BBB9-57441FC54F53}"/>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187-4AC3-BBB9-57441FC54F5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'Department &amp; Position'!$G$94:$G$100</c:f>
              <c:strCache>
                <c:ptCount val="6"/>
                <c:pt idx="0">
                  <c:v>Admin Offices</c:v>
                </c:pt>
                <c:pt idx="1">
                  <c:v>Executive Office</c:v>
                </c:pt>
                <c:pt idx="2">
                  <c:v>IT/IS</c:v>
                </c:pt>
                <c:pt idx="3">
                  <c:v>Production       </c:v>
                </c:pt>
                <c:pt idx="4">
                  <c:v>Sales</c:v>
                </c:pt>
                <c:pt idx="5">
                  <c:v>Software Engineering</c:v>
                </c:pt>
              </c:strCache>
            </c:strRef>
          </c:cat>
          <c:val>
            <c:numRef>
              <c:f>'Department &amp; Position'!$H$94:$H$100</c:f>
              <c:numCache>
                <c:formatCode>General</c:formatCode>
                <c:ptCount val="6"/>
                <c:pt idx="0">
                  <c:v>3.5555555555555554</c:v>
                </c:pt>
                <c:pt idx="1">
                  <c:v>3</c:v>
                </c:pt>
                <c:pt idx="2">
                  <c:v>3.96</c:v>
                </c:pt>
                <c:pt idx="3">
                  <c:v>3.861244019138756</c:v>
                </c:pt>
                <c:pt idx="4">
                  <c:v>4.032258064516129</c:v>
                </c:pt>
                <c:pt idx="5">
                  <c:v>4.0909090909090908</c:v>
                </c:pt>
              </c:numCache>
            </c:numRef>
          </c:val>
          <c:extLst>
            <c:ext xmlns:c16="http://schemas.microsoft.com/office/drawing/2014/chart" uri="{C3380CC4-5D6E-409C-BE32-E72D297353CC}">
              <c16:uniqueId val="{00000000-9A35-4BBB-BA6B-F9016E76448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[hrDataset.xlsx]Department &amp; Position!PivotTable7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Special</a:t>
            </a:r>
            <a:r>
              <a:rPr lang="en-US" baseline="0"/>
              <a:t> project Count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&amp; Position'!$B$115</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&amp; Position'!$A$116:$A$125</c:f>
              <c:strCache>
                <c:ptCount val="9"/>
                <c:pt idx="0">
                  <c:v>0</c:v>
                </c:pt>
                <c:pt idx="1">
                  <c:v>1</c:v>
                </c:pt>
                <c:pt idx="2">
                  <c:v>2</c:v>
                </c:pt>
                <c:pt idx="3">
                  <c:v>3</c:v>
                </c:pt>
                <c:pt idx="4">
                  <c:v>4</c:v>
                </c:pt>
                <c:pt idx="5">
                  <c:v>5</c:v>
                </c:pt>
                <c:pt idx="6">
                  <c:v>6</c:v>
                </c:pt>
                <c:pt idx="7">
                  <c:v>7</c:v>
                </c:pt>
                <c:pt idx="8">
                  <c:v>8</c:v>
                </c:pt>
              </c:strCache>
            </c:strRef>
          </c:cat>
          <c:val>
            <c:numRef>
              <c:f>'Department &amp; Position'!$B$116:$B$125</c:f>
              <c:numCache>
                <c:formatCode>General</c:formatCode>
                <c:ptCount val="9"/>
                <c:pt idx="0">
                  <c:v>241</c:v>
                </c:pt>
                <c:pt idx="1">
                  <c:v>1</c:v>
                </c:pt>
                <c:pt idx="2">
                  <c:v>1</c:v>
                </c:pt>
                <c:pt idx="3">
                  <c:v>3</c:v>
                </c:pt>
                <c:pt idx="4">
                  <c:v>9</c:v>
                </c:pt>
                <c:pt idx="5">
                  <c:v>21</c:v>
                </c:pt>
                <c:pt idx="6">
                  <c:v>21</c:v>
                </c:pt>
                <c:pt idx="7">
                  <c:v>12</c:v>
                </c:pt>
                <c:pt idx="8">
                  <c:v>2</c:v>
                </c:pt>
              </c:numCache>
            </c:numRef>
          </c:val>
          <c:extLst>
            <c:ext xmlns:c16="http://schemas.microsoft.com/office/drawing/2014/chart" uri="{C3380CC4-5D6E-409C-BE32-E72D297353CC}">
              <c16:uniqueId val="{00000000-A96D-45C4-8149-9D028E8FBDDF}"/>
            </c:ext>
          </c:extLst>
        </c:ser>
        <c:dLbls>
          <c:dLblPos val="outEnd"/>
          <c:showLegendKey val="0"/>
          <c:showVal val="1"/>
          <c:showCatName val="0"/>
          <c:showSerName val="0"/>
          <c:showPercent val="0"/>
          <c:showBubbleSize val="0"/>
        </c:dLbls>
        <c:gapWidth val="100"/>
        <c:overlap val="-24"/>
        <c:axId val="1803673007"/>
        <c:axId val="1803675407"/>
      </c:barChart>
      <c:catAx>
        <c:axId val="18036730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675407"/>
        <c:crosses val="autoZero"/>
        <c:auto val="1"/>
        <c:lblAlgn val="ctr"/>
        <c:lblOffset val="100"/>
        <c:noMultiLvlLbl val="0"/>
      </c:catAx>
      <c:valAx>
        <c:axId val="180367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67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[hrDataset.xlsx]Department &amp; Position!PivotTable8</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Special</a:t>
            </a:r>
            <a:r>
              <a:rPr lang="en-IN" baseline="0"/>
              <a:t> project count by department</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&amp; Position'!$H$115</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strRef>
              <c:f>'Department &amp; Position'!$G$116:$G$122</c:f>
              <c:strCache>
                <c:ptCount val="6"/>
                <c:pt idx="0">
                  <c:v>Admin Offices</c:v>
                </c:pt>
                <c:pt idx="1">
                  <c:v>Executive Office</c:v>
                </c:pt>
                <c:pt idx="2">
                  <c:v>IT/IS</c:v>
                </c:pt>
                <c:pt idx="3">
                  <c:v>Production       </c:v>
                </c:pt>
                <c:pt idx="4">
                  <c:v>Sales</c:v>
                </c:pt>
                <c:pt idx="5">
                  <c:v>Software Engineering</c:v>
                </c:pt>
              </c:strCache>
            </c:strRef>
          </c:cat>
          <c:val>
            <c:numRef>
              <c:f>'Department &amp; Position'!$H$116:$H$122</c:f>
              <c:numCache>
                <c:formatCode>General</c:formatCode>
                <c:ptCount val="6"/>
                <c:pt idx="0">
                  <c:v>3.6666666666666665</c:v>
                </c:pt>
                <c:pt idx="1">
                  <c:v>0</c:v>
                </c:pt>
                <c:pt idx="2">
                  <c:v>5.92</c:v>
                </c:pt>
                <c:pt idx="3">
                  <c:v>1.9138755980861243E-2</c:v>
                </c:pt>
                <c:pt idx="4">
                  <c:v>0</c:v>
                </c:pt>
                <c:pt idx="5">
                  <c:v>4.1818181818181817</c:v>
                </c:pt>
              </c:numCache>
            </c:numRef>
          </c:val>
          <c:extLst>
            <c:ext xmlns:c16="http://schemas.microsoft.com/office/drawing/2014/chart" uri="{C3380CC4-5D6E-409C-BE32-E72D297353CC}">
              <c16:uniqueId val="{00000000-0564-442D-B563-49F3DCE217D9}"/>
            </c:ext>
          </c:extLst>
        </c:ser>
        <c:dLbls>
          <c:showLegendKey val="0"/>
          <c:showVal val="0"/>
          <c:showCatName val="0"/>
          <c:showSerName val="0"/>
          <c:showPercent val="0"/>
          <c:showBubbleSize val="0"/>
        </c:dLbls>
        <c:gapWidth val="100"/>
        <c:overlap val="-24"/>
        <c:axId val="1871711039"/>
        <c:axId val="1871713439"/>
      </c:barChart>
      <c:catAx>
        <c:axId val="187171103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Department</a:t>
                </a:r>
              </a:p>
            </c:rich>
          </c:tx>
          <c:layout>
            <c:manualLayout>
              <c:xMode val="edge"/>
              <c:yMode val="edge"/>
              <c:x val="0.42556743009081444"/>
              <c:y val="0.888958151064450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713439"/>
        <c:crosses val="autoZero"/>
        <c:auto val="1"/>
        <c:lblAlgn val="ctr"/>
        <c:lblOffset val="100"/>
        <c:noMultiLvlLbl val="0"/>
      </c:catAx>
      <c:valAx>
        <c:axId val="1871713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baseline="0"/>
                  <a:t>specia; project count </a:t>
                </a:r>
                <a:endParaRPr lang="en-IN"/>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71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[hrDataset.xlsx]Employee Demographics!PivotTable1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600" b="1"/>
              <a:t>Gender data </a:t>
            </a:r>
          </a:p>
        </c:rich>
      </c:tx>
      <c:layout>
        <c:manualLayout>
          <c:xMode val="edge"/>
          <c:yMode val="edge"/>
          <c:x val="0.5653125318711118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44721968029482E-2"/>
          <c:y val="0.26148851454288791"/>
          <c:w val="0.80519551707024395"/>
          <c:h val="0.4892374052773184"/>
        </c:manualLayout>
      </c:layout>
      <c:barChart>
        <c:barDir val="bar"/>
        <c:grouping val="clustered"/>
        <c:varyColors val="0"/>
        <c:ser>
          <c:idx val="0"/>
          <c:order val="0"/>
          <c:tx>
            <c:strRef>
              <c:f>'Employee Demographics'!$B$15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Demographics'!$A$16:$A$18</c:f>
              <c:strCache>
                <c:ptCount val="2"/>
                <c:pt idx="0">
                  <c:v>F</c:v>
                </c:pt>
                <c:pt idx="1">
                  <c:v>M </c:v>
                </c:pt>
              </c:strCache>
            </c:strRef>
          </c:cat>
          <c:val>
            <c:numRef>
              <c:f>'Employee Demographics'!$B$16:$B$18</c:f>
              <c:numCache>
                <c:formatCode>General</c:formatCode>
                <c:ptCount val="2"/>
                <c:pt idx="0">
                  <c:v>176</c:v>
                </c:pt>
                <c:pt idx="1">
                  <c:v>135</c:v>
                </c:pt>
              </c:numCache>
            </c:numRef>
          </c:val>
          <c:extLst>
            <c:ext xmlns:c16="http://schemas.microsoft.com/office/drawing/2014/chart" uri="{C3380CC4-5D6E-409C-BE32-E72D297353CC}">
              <c16:uniqueId val="{00000000-357D-43D4-A1F5-E880BA83ACA4}"/>
            </c:ext>
          </c:extLst>
        </c:ser>
        <c:dLbls>
          <c:dLblPos val="inEnd"/>
          <c:showLegendKey val="0"/>
          <c:showVal val="1"/>
          <c:showCatName val="0"/>
          <c:showSerName val="0"/>
          <c:showPercent val="0"/>
          <c:showBubbleSize val="0"/>
        </c:dLbls>
        <c:gapWidth val="182"/>
        <c:axId val="630860879"/>
        <c:axId val="630861839"/>
      </c:barChart>
      <c:catAx>
        <c:axId val="630860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4000" b="0" i="0" u="none" strike="noStrike" kern="1200" baseline="0">
                <a:solidFill>
                  <a:schemeClr val="tx1"/>
                </a:solidFill>
                <a:latin typeface="+mn-lt"/>
                <a:ea typeface="+mn-ea"/>
                <a:cs typeface="+mn-cs"/>
              </a:defRPr>
            </a:pPr>
            <a:endParaRPr lang="en-US"/>
          </a:p>
        </c:txPr>
        <c:crossAx val="630861839"/>
        <c:crosses val="autoZero"/>
        <c:auto val="1"/>
        <c:lblAlgn val="ctr"/>
        <c:lblOffset val="100"/>
        <c:noMultiLvlLbl val="0"/>
      </c:catAx>
      <c:valAx>
        <c:axId val="630861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40" b="0" i="0" u="none" strike="noStrike" kern="1200" baseline="0">
                <a:solidFill>
                  <a:schemeClr val="tx1">
                    <a:lumMod val="65000"/>
                    <a:lumOff val="35000"/>
                  </a:schemeClr>
                </a:solidFill>
                <a:latin typeface="+mn-lt"/>
                <a:ea typeface="+mn-ea"/>
                <a:cs typeface="+mn-cs"/>
              </a:defRPr>
            </a:pPr>
            <a:endParaRPr lang="en-US"/>
          </a:p>
        </c:txPr>
        <c:crossAx val="63086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[hrDataset.xlsx]Employee Demographics!PivotTable4</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Marital status</a:t>
            </a:r>
          </a:p>
        </c:rich>
      </c:tx>
      <c:layout>
        <c:manualLayout>
          <c:xMode val="edge"/>
          <c:yMode val="edge"/>
          <c:x val="0.5916472389480727"/>
          <c:y val="5.190759384991630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0.23147708179022358"/>
              <c:y val="1.4607637327765974E-2"/>
            </c:manualLayout>
          </c:layout>
          <c:tx>
            <c:rich>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6745519B-CF16-4F6E-88F1-B8BBBE178228}" type="CATEGORYNAME">
                  <a:rPr lang="en-US" sz="2400"/>
                  <a:pPr>
                    <a:defRPr/>
                  </a:pPr>
                  <a:t>[CATEGORY NAME]</a:t>
                </a:fld>
                <a:r>
                  <a:rPr lang="en-US" sz="2400" baseline="0"/>
                  <a:t>
</a:t>
                </a:r>
                <a:fld id="{006DFC48-8671-4CD1-92F5-5FFC5D67F471}" type="PERCENTAGE">
                  <a:rPr lang="en-US" sz="2400" baseline="0"/>
                  <a:pPr>
                    <a:defRPr/>
                  </a:pPr>
                  <a:t>[PERCENTAGE]</a:t>
                </a:fld>
                <a:endParaRPr lang="en-US" sz="2400"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4847865820879474"/>
                  <c:h val="0.19047592270297775"/>
                </c:manualLayout>
              </c15:layout>
              <c15:dlblFieldTable/>
              <c15:showDataLabelsRange val="0"/>
            </c:ext>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0.47466312102508917"/>
              <c:y val="-3.5663594419396899E-2"/>
            </c:manualLayout>
          </c:layout>
          <c:tx>
            <c:rich>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73AC79A0-F1EC-4057-93BB-E1CC6466137B}" type="CATEGORYNAME">
                  <a:rPr lang="en-US" sz="2400"/>
                  <a:pPr>
                    <a:defRPr/>
                  </a:pPr>
                  <a:t>[CATEGORY NAME]</a:t>
                </a:fld>
                <a:r>
                  <a:rPr lang="en-US" sz="2400" baseline="0"/>
                  <a:t>
</a:t>
                </a:r>
                <a:fld id="{E1A1189C-472A-4BA3-A8A1-0FAF40447A17}" type="PERCENTAGE">
                  <a:rPr lang="en-US" sz="2400" baseline="0"/>
                  <a:pPr>
                    <a:defRPr/>
                  </a:pPr>
                  <a:t>[PERCENTAGE]</a:t>
                </a:fld>
                <a:endParaRPr lang="en-US" sz="2400"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41256437089778697"/>
                  <c:h val="0.16450678967583826"/>
                </c:manualLayout>
              </c15:layout>
              <c15:dlblFieldTable/>
              <c15:showDataLabelsRange val="0"/>
            </c:ext>
          </c:extLst>
        </c:dLbl>
      </c:pivotFmt>
      <c:pivotFmt>
        <c:idx val="15"/>
        <c:spPr>
          <a:solidFill>
            <a:schemeClr val="accent1"/>
          </a:solidFill>
          <a:ln>
            <a:noFill/>
          </a:ln>
          <a:effectLst>
            <a:outerShdw blurRad="254000" sx="102000" sy="102000" algn="ctr" rotWithShape="0">
              <a:prstClr val="black">
                <a:alpha val="20000"/>
              </a:prstClr>
            </a:outerShdw>
          </a:effectLst>
        </c:spPr>
        <c:dLbl>
          <c:idx val="0"/>
          <c:layout>
            <c:manualLayout>
              <c:x val="-9.0969592454523712E-2"/>
              <c:y val="-1.7853778956158424E-2"/>
            </c:manualLayout>
          </c:layout>
          <c:tx>
            <c:rich>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4F62044B-4864-4602-969F-3A9EDA1ED088}" type="CATEGORYNAME">
                  <a:rPr lang="en-US" sz="2400"/>
                  <a:pPr>
                    <a:defRPr/>
                  </a:pPr>
                  <a:t>[CATEGORY NAME]</a:t>
                </a:fld>
                <a:r>
                  <a:rPr lang="en-US" sz="2400" baseline="0"/>
                  <a:t>
</a:t>
                </a:r>
                <a:fld id="{B3BE2537-0D22-4162-89EC-B6FB2FC02733}" type="PERCENTAGE">
                  <a:rPr lang="en-US" sz="2400" baseline="0"/>
                  <a:pPr>
                    <a:defRPr/>
                  </a:pPr>
                  <a:t>[PERCENTAGE]</a:t>
                </a:fld>
                <a:endParaRPr lang="en-US" sz="2400"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7993568371091823"/>
                  <c:h val="0.20995277247333244"/>
                </c:manualLayout>
              </c15:layout>
              <c15:dlblFieldTable/>
              <c15:showDataLabelsRange val="0"/>
            </c:ext>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6.5416364800269855E-2"/>
              <c:y val="-0.3002411384717038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24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827312296599547"/>
                  <c:h val="0.30581711502140813"/>
                </c:manualLayout>
              </c15:layout>
            </c:ext>
          </c:extLst>
        </c:dLbl>
      </c:pivotFmt>
      <c:pivotFmt>
        <c:idx val="17"/>
        <c:spPr>
          <a:solidFill>
            <a:schemeClr val="accent1"/>
          </a:solidFill>
          <a:ln>
            <a:noFill/>
          </a:ln>
          <a:effectLst>
            <a:outerShdw blurRad="254000" sx="102000" sy="102000" algn="ctr" rotWithShape="0">
              <a:prstClr val="black">
                <a:alpha val="20000"/>
              </a:prstClr>
            </a:outerShdw>
          </a:effectLst>
        </c:spPr>
        <c:dLbl>
          <c:idx val="0"/>
          <c:layout>
            <c:manualLayout>
              <c:x val="7.0253757786128024E-2"/>
              <c:y val="-0.10945733344213412"/>
            </c:manualLayout>
          </c:layout>
          <c:tx>
            <c:rich>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87D02AEC-19A5-4A5F-9594-972B3B146D4D}" type="CATEGORYNAME">
                  <a:rPr lang="en-US" sz="2400"/>
                  <a:pPr>
                    <a:defRPr/>
                  </a:pPr>
                  <a:t>[CATEGORY NAME]</a:t>
                </a:fld>
                <a:r>
                  <a:rPr lang="en-US" sz="2400" baseline="0"/>
                  <a:t>
</a:t>
                </a:r>
                <a:fld id="{ABD5F8F3-88B4-4498-93DE-D3B347033243}" type="PERCENTAGE">
                  <a:rPr lang="en-US" sz="2400" baseline="0"/>
                  <a:pPr>
                    <a:defRPr/>
                  </a:pPr>
                  <a:t>[PERCENTAGE]</a:t>
                </a:fld>
                <a:endParaRPr lang="en-US" sz="2400"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2798300193724247"/>
                  <c:h val="0.2020373114345729"/>
                </c:manualLayout>
              </c15:layout>
              <c15:dlblFieldTable/>
              <c15:showDataLabelsRange val="0"/>
            </c:ext>
          </c:extLst>
        </c:dLbl>
      </c:pivotFmt>
    </c:pivotFmts>
    <c:plotArea>
      <c:layout>
        <c:manualLayout>
          <c:layoutTarget val="inner"/>
          <c:xMode val="edge"/>
          <c:yMode val="edge"/>
          <c:x val="0.29266741482081093"/>
          <c:y val="0.22659906610510899"/>
          <c:w val="0.27809570240635806"/>
          <c:h val="0.69200558505768173"/>
        </c:manualLayout>
      </c:layout>
      <c:pieChart>
        <c:varyColors val="1"/>
        <c:ser>
          <c:idx val="0"/>
          <c:order val="0"/>
          <c:tx>
            <c:strRef>
              <c:f>'Employee Demographics'!$G$14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7A4-48D4-859D-74866D7898B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7A4-48D4-859D-74866D7898B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7A4-48D4-859D-74866D7898B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7A4-48D4-859D-74866D7898B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7A4-48D4-859D-74866D7898BC}"/>
              </c:ext>
            </c:extLst>
          </c:dPt>
          <c:dLbls>
            <c:dLbl>
              <c:idx val="0"/>
              <c:layout>
                <c:manualLayout>
                  <c:x val="0.23147708179022358"/>
                  <c:y val="1.4607637327765974E-2"/>
                </c:manualLayout>
              </c:layout>
              <c:tx>
                <c:rich>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6745519B-CF16-4F6E-88F1-B8BBBE178228}" type="CATEGORYNAME">
                      <a:rPr lang="en-US" sz="2400"/>
                      <a:pPr>
                        <a:defRPr/>
                      </a:pPr>
                      <a:t>[CATEGORY NAME]</a:t>
                    </a:fld>
                    <a:r>
                      <a:rPr lang="en-US" sz="2400" baseline="0"/>
                      <a:t>
</a:t>
                    </a:r>
                    <a:fld id="{006DFC48-8671-4CD1-92F5-5FFC5D67F471}" type="PERCENTAGE">
                      <a:rPr lang="en-US" sz="2400" baseline="0"/>
                      <a:pPr>
                        <a:defRPr/>
                      </a:pPr>
                      <a:t>[PERCENTAGE]</a:t>
                    </a:fld>
                    <a:endParaRPr lang="en-US" sz="2400"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4847865820879474"/>
                      <c:h val="0.19047592270297775"/>
                    </c:manualLayout>
                  </c15:layout>
                  <c15:dlblFieldTable/>
                  <c15:showDataLabelsRange val="0"/>
                </c:ext>
                <c:ext xmlns:c16="http://schemas.microsoft.com/office/drawing/2014/chart" uri="{C3380CC4-5D6E-409C-BE32-E72D297353CC}">
                  <c16:uniqueId val="{00000001-B7A4-48D4-859D-74866D7898BC}"/>
                </c:ext>
              </c:extLst>
            </c:dLbl>
            <c:dLbl>
              <c:idx val="1"/>
              <c:layout>
                <c:manualLayout>
                  <c:x val="0.47466312102508917"/>
                  <c:y val="-3.5663594419396899E-2"/>
                </c:manualLayout>
              </c:layout>
              <c:tx>
                <c:rich>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73AC79A0-F1EC-4057-93BB-E1CC6466137B}" type="CATEGORYNAME">
                      <a:rPr lang="en-US" sz="2400"/>
                      <a:pPr>
                        <a:defRPr/>
                      </a:pPr>
                      <a:t>[CATEGORY NAME]</a:t>
                    </a:fld>
                    <a:r>
                      <a:rPr lang="en-US" sz="2400" baseline="0"/>
                      <a:t>
</a:t>
                    </a:r>
                    <a:fld id="{E1A1189C-472A-4BA3-A8A1-0FAF40447A17}" type="PERCENTAGE">
                      <a:rPr lang="en-US" sz="2400" baseline="0"/>
                      <a:pPr>
                        <a:defRPr/>
                      </a:pPr>
                      <a:t>[PERCENTAGE]</a:t>
                    </a:fld>
                    <a:endParaRPr lang="en-US" sz="2400"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41256437089778697"/>
                      <c:h val="0.16450678967583826"/>
                    </c:manualLayout>
                  </c15:layout>
                  <c15:dlblFieldTable/>
                  <c15:showDataLabelsRange val="0"/>
                </c:ext>
                <c:ext xmlns:c16="http://schemas.microsoft.com/office/drawing/2014/chart" uri="{C3380CC4-5D6E-409C-BE32-E72D297353CC}">
                  <c16:uniqueId val="{00000003-B7A4-48D4-859D-74866D7898BC}"/>
                </c:ext>
              </c:extLst>
            </c:dLbl>
            <c:dLbl>
              <c:idx val="2"/>
              <c:layout>
                <c:manualLayout>
                  <c:x val="-9.0969592454523712E-2"/>
                  <c:y val="-1.7853778956158424E-2"/>
                </c:manualLayout>
              </c:layout>
              <c:tx>
                <c:rich>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4F62044B-4864-4602-969F-3A9EDA1ED088}" type="CATEGORYNAME">
                      <a:rPr lang="en-US" sz="2400"/>
                      <a:pPr>
                        <a:defRPr/>
                      </a:pPr>
                      <a:t>[CATEGORY NAME]</a:t>
                    </a:fld>
                    <a:r>
                      <a:rPr lang="en-US" sz="2400" baseline="0"/>
                      <a:t>
</a:t>
                    </a:r>
                    <a:fld id="{B3BE2537-0D22-4162-89EC-B6FB2FC02733}" type="PERCENTAGE">
                      <a:rPr lang="en-US" sz="2400" baseline="0"/>
                      <a:pPr>
                        <a:defRPr/>
                      </a:pPr>
                      <a:t>[PERCENTAGE]</a:t>
                    </a:fld>
                    <a:endParaRPr lang="en-US" sz="2400"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7993568371091823"/>
                      <c:h val="0.20995277247333244"/>
                    </c:manualLayout>
                  </c15:layout>
                  <c15:dlblFieldTable/>
                  <c15:showDataLabelsRange val="0"/>
                </c:ext>
                <c:ext xmlns:c16="http://schemas.microsoft.com/office/drawing/2014/chart" uri="{C3380CC4-5D6E-409C-BE32-E72D297353CC}">
                  <c16:uniqueId val="{00000005-B7A4-48D4-859D-74866D7898BC}"/>
                </c:ext>
              </c:extLst>
            </c:dLbl>
            <c:dLbl>
              <c:idx val="3"/>
              <c:layout>
                <c:manualLayout>
                  <c:x val="-6.5416364800269855E-2"/>
                  <c:y val="-0.3002411384717038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24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827312296599547"/>
                      <c:h val="0.30581711502140813"/>
                    </c:manualLayout>
                  </c15:layout>
                </c:ext>
                <c:ext xmlns:c16="http://schemas.microsoft.com/office/drawing/2014/chart" uri="{C3380CC4-5D6E-409C-BE32-E72D297353CC}">
                  <c16:uniqueId val="{00000007-B7A4-48D4-859D-74866D7898BC}"/>
                </c:ext>
              </c:extLst>
            </c:dLbl>
            <c:dLbl>
              <c:idx val="4"/>
              <c:layout>
                <c:manualLayout>
                  <c:x val="7.0253757786128024E-2"/>
                  <c:y val="-0.10945733344213412"/>
                </c:manualLayout>
              </c:layout>
              <c:tx>
                <c:rich>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87D02AEC-19A5-4A5F-9594-972B3B146D4D}" type="CATEGORYNAME">
                      <a:rPr lang="en-US" sz="2400"/>
                      <a:pPr>
                        <a:defRPr/>
                      </a:pPr>
                      <a:t>[CATEGORY NAME]</a:t>
                    </a:fld>
                    <a:r>
                      <a:rPr lang="en-US" sz="2400" baseline="0"/>
                      <a:t>
</a:t>
                    </a:r>
                    <a:fld id="{ABD5F8F3-88B4-4498-93DE-D3B347033243}" type="PERCENTAGE">
                      <a:rPr lang="en-US" sz="2400" baseline="0"/>
                      <a:pPr>
                        <a:defRPr/>
                      </a:pPr>
                      <a:t>[PERCENTAGE]</a:t>
                    </a:fld>
                    <a:endParaRPr lang="en-US" sz="2400"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2798300193724247"/>
                      <c:h val="0.2020373114345729"/>
                    </c:manualLayout>
                  </c15:layout>
                  <c15:dlblFieldTable/>
                  <c15:showDataLabelsRange val="0"/>
                </c:ext>
                <c:ext xmlns:c16="http://schemas.microsoft.com/office/drawing/2014/chart" uri="{C3380CC4-5D6E-409C-BE32-E72D297353CC}">
                  <c16:uniqueId val="{00000009-B7A4-48D4-859D-74866D7898BC}"/>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'Employee Demographics'!$F$15:$F$20</c:f>
              <c:strCache>
                <c:ptCount val="5"/>
                <c:pt idx="0">
                  <c:v>Divorced</c:v>
                </c:pt>
                <c:pt idx="1">
                  <c:v>Married</c:v>
                </c:pt>
                <c:pt idx="2">
                  <c:v>Separated</c:v>
                </c:pt>
                <c:pt idx="3">
                  <c:v>Single</c:v>
                </c:pt>
                <c:pt idx="4">
                  <c:v>Widowed</c:v>
                </c:pt>
              </c:strCache>
            </c:strRef>
          </c:cat>
          <c:val>
            <c:numRef>
              <c:f>'Employee Demographics'!$G$15:$G$20</c:f>
              <c:numCache>
                <c:formatCode>General</c:formatCode>
                <c:ptCount val="5"/>
                <c:pt idx="0">
                  <c:v>30</c:v>
                </c:pt>
                <c:pt idx="1">
                  <c:v>124</c:v>
                </c:pt>
                <c:pt idx="2">
                  <c:v>12</c:v>
                </c:pt>
                <c:pt idx="3">
                  <c:v>137</c:v>
                </c:pt>
                <c:pt idx="4">
                  <c:v>8</c:v>
                </c:pt>
              </c:numCache>
            </c:numRef>
          </c:val>
          <c:extLst>
            <c:ext xmlns:c16="http://schemas.microsoft.com/office/drawing/2014/chart" uri="{C3380CC4-5D6E-409C-BE32-E72D297353CC}">
              <c16:uniqueId val="{0000000A-B7A4-48D4-859D-74866D7898BC}"/>
            </c:ext>
          </c:extLst>
        </c:ser>
        <c:dLbls>
          <c:dLblPos val="outEnd"/>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[hrDataset.xlsx]Employee Demographics!PivotTable2</c:name>
    <c:fmtId val="6"/>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4400">
                <a:latin typeface="Britannic Bold" panose="020B0903060703020204" pitchFamily="34" charset="0"/>
              </a:rPr>
              <a:t>A</a:t>
            </a:r>
            <a:r>
              <a:rPr lang="en-US" sz="4400" b="1">
                <a:latin typeface="Britannic Bold" panose="020B0903060703020204" pitchFamily="34" charset="0"/>
              </a:rPr>
              <a:t>ge group</a:t>
            </a:r>
          </a:p>
        </c:rich>
      </c:tx>
      <c:layout>
        <c:manualLayout>
          <c:xMode val="edge"/>
          <c:yMode val="edge"/>
          <c:x val="0.45649362123520643"/>
          <c:y val="8.6512647872776891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s>
    <c:plotArea>
      <c:layout>
        <c:manualLayout>
          <c:layoutTarget val="inner"/>
          <c:xMode val="edge"/>
          <c:yMode val="edge"/>
          <c:x val="1.0570193828301124E-3"/>
          <c:y val="0.34644468653756988"/>
          <c:w val="0.93785310734463279"/>
          <c:h val="0.59769563526781377"/>
        </c:manualLayout>
      </c:layout>
      <c:barChart>
        <c:barDir val="col"/>
        <c:grouping val="clustered"/>
        <c:varyColors val="0"/>
        <c:ser>
          <c:idx val="0"/>
          <c:order val="0"/>
          <c:tx>
            <c:strRef>
              <c:f>'Employee Demographics'!$B$33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'Employee Demographics'!$A$34:$A$39</c:f>
              <c:strCache>
                <c:ptCount val="5"/>
                <c:pt idx="0">
                  <c:v>21-30</c:v>
                </c:pt>
                <c:pt idx="1">
                  <c:v>31-40</c:v>
                </c:pt>
                <c:pt idx="2">
                  <c:v>41-50</c:v>
                </c:pt>
                <c:pt idx="3">
                  <c:v>51-60</c:v>
                </c:pt>
                <c:pt idx="4">
                  <c:v>60+</c:v>
                </c:pt>
              </c:strCache>
            </c:strRef>
          </c:cat>
          <c:val>
            <c:numRef>
              <c:f>'Employee Demographics'!$B$34:$B$39</c:f>
              <c:numCache>
                <c:formatCode>General</c:formatCode>
                <c:ptCount val="5"/>
                <c:pt idx="0">
                  <c:v>11</c:v>
                </c:pt>
                <c:pt idx="1">
                  <c:v>153</c:v>
                </c:pt>
                <c:pt idx="2">
                  <c:v>98</c:v>
                </c:pt>
                <c:pt idx="3">
                  <c:v>36</c:v>
                </c:pt>
                <c:pt idx="4">
                  <c:v>13</c:v>
                </c:pt>
              </c:numCache>
            </c:numRef>
          </c:val>
          <c:extLst>
            <c:ext xmlns:c16="http://schemas.microsoft.com/office/drawing/2014/chart" uri="{C3380CC4-5D6E-409C-BE32-E72D297353CC}">
              <c16:uniqueId val="{00000000-D3CD-4D52-88C6-ECE94DE87910}"/>
            </c:ext>
          </c:extLst>
        </c:ser>
        <c:dLbls>
          <c:dLblPos val="inBase"/>
          <c:showLegendKey val="0"/>
          <c:showVal val="1"/>
          <c:showCatName val="0"/>
          <c:showSerName val="0"/>
          <c:showPercent val="0"/>
          <c:showBubbleSize val="0"/>
        </c:dLbls>
        <c:gapWidth val="41"/>
        <c:axId val="982377007"/>
        <c:axId val="975195311"/>
      </c:barChart>
      <c:catAx>
        <c:axId val="982377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solidFill>
                <a:effectLst/>
                <a:latin typeface="+mn-lt"/>
                <a:ea typeface="+mn-ea"/>
                <a:cs typeface="+mn-cs"/>
              </a:defRPr>
            </a:pPr>
            <a:endParaRPr lang="en-US"/>
          </a:p>
        </c:txPr>
        <c:crossAx val="975195311"/>
        <c:crosses val="autoZero"/>
        <c:auto val="1"/>
        <c:lblAlgn val="ctr"/>
        <c:lblOffset val="100"/>
        <c:noMultiLvlLbl val="0"/>
      </c:catAx>
      <c:valAx>
        <c:axId val="975195311"/>
        <c:scaling>
          <c:orientation val="minMax"/>
        </c:scaling>
        <c:delete val="1"/>
        <c:axPos val="l"/>
        <c:numFmt formatCode="General" sourceLinked="1"/>
        <c:majorTickMark val="none"/>
        <c:minorTickMark val="none"/>
        <c:tickLblPos val="nextTo"/>
        <c:crossAx val="982377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[hrDataset.xlsx]Employee Demographics!PivotTable5</c:name>
    <c:fmtId val="6"/>
  </c:pivotSource>
  <c:chart>
    <c:title>
      <c:tx>
        <c:rich>
          <a:bodyPr rot="0" spcFirstLastPara="1" vertOverflow="ellipsis" vert="horz" wrap="square" anchor="ctr" anchorCtr="1"/>
          <a:lstStyle/>
          <a:p>
            <a:pPr>
              <a:defRPr sz="2800" b="1" i="0" u="none" strike="noStrike" kern="1200" baseline="0">
                <a:solidFill>
                  <a:schemeClr val="dk1">
                    <a:lumMod val="75000"/>
                    <a:lumOff val="25000"/>
                  </a:schemeClr>
                </a:solidFill>
                <a:latin typeface="+mn-lt"/>
                <a:ea typeface="+mn-ea"/>
                <a:cs typeface="+mn-cs"/>
              </a:defRPr>
            </a:pPr>
            <a:r>
              <a:rPr lang="en-US" sz="2800"/>
              <a:t>State information</a:t>
            </a:r>
          </a:p>
        </c:rich>
      </c:tx>
      <c:layout>
        <c:manualLayout>
          <c:xMode val="edge"/>
          <c:yMode val="edge"/>
          <c:x val="0.35594037926006233"/>
          <c:y val="4.2981525692794648E-2"/>
        </c:manualLayout>
      </c:layout>
      <c:overlay val="0"/>
      <c:spPr>
        <a:noFill/>
        <a:ln>
          <a:noFill/>
        </a:ln>
        <a:effectLst/>
      </c:spPr>
      <c:txPr>
        <a:bodyPr rot="0" spcFirstLastPara="1" vertOverflow="ellipsis" vert="horz" wrap="square" anchor="ctr" anchorCtr="1"/>
        <a:lstStyle/>
        <a:p>
          <a:pPr>
            <a:defRPr sz="2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alpha val="85000"/>
            </a:schemeClr>
          </a:solidFill>
          <a:ln w="9525" cap="flat" cmpd="sng" algn="ctr">
            <a:solidFill>
              <a:schemeClr val="lt1">
                <a:alpha val="50000"/>
              </a:schemeClr>
            </a:solidFill>
            <a:round/>
          </a:ln>
          <a:effectLst/>
        </c:spPr>
        <c:dLbl>
          <c:idx val="0"/>
          <c:layout>
            <c:manualLayout>
              <c:x val="-1.8902899907365989E-2"/>
              <c:y val="-7.5646766826659093E-2"/>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D47ECEA4-89B1-4899-B317-7EAA2099EF05}" type="CATEGORYNAME">
                  <a:rPr lang="en-US" sz="2400"/>
                  <a:pPr>
                    <a:defRPr/>
                  </a:pPr>
                  <a:t>[CATEGORY NAME]</a:t>
                </a:fld>
                <a:r>
                  <a:rPr lang="en-US" sz="2400" baseline="0"/>
                  <a:t>, </a:t>
                </a:r>
                <a:fld id="{1F884A3A-22A1-470D-9BD7-69F51318FDCE}" type="VALUE">
                  <a:rPr lang="en-US" sz="2400" baseline="0"/>
                  <a:pPr>
                    <a:defRPr/>
                  </a:pPr>
                  <a:t>[VALUE]</a:t>
                </a:fld>
                <a:endParaRPr lang="en-US" sz="2400" baseline="0"/>
              </a:p>
            </c:rich>
          </c:tx>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274267851667585"/>
                  <c:h val="0.15908213518955808"/>
                </c:manualLayout>
              </c15:layout>
              <c15:dlblFieldTable/>
              <c15:showDataLabelsRange val="0"/>
            </c:ext>
          </c:extLst>
        </c:dLbl>
      </c:pivotFmt>
      <c:pivotFmt>
        <c:idx val="4"/>
        <c:spPr>
          <a:solidFill>
            <a:schemeClr val="accent1">
              <a:alpha val="85000"/>
            </a:schemeClr>
          </a:solidFill>
          <a:ln w="9525" cap="flat" cmpd="sng" algn="ctr">
            <a:solidFill>
              <a:schemeClr val="lt1">
                <a:alpha val="50000"/>
              </a:schemeClr>
            </a:solidFill>
            <a:round/>
          </a:ln>
          <a:effectLst/>
        </c:spPr>
        <c:dLbl>
          <c:idx val="0"/>
          <c:layout>
            <c:manualLayout>
              <c:x val="6.7655574639006007E-8"/>
              <c:y val="-0.170205132290634"/>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0CEAD459-9687-4D70-84B5-835AAA7DDF2B}" type="CATEGORYNAME">
                  <a:rPr lang="en-US" sz="3200"/>
                  <a:pPr>
                    <a:defRPr/>
                  </a:pPr>
                  <a:t>[CATEGORY NAME]</a:t>
                </a:fld>
                <a:r>
                  <a:rPr lang="en-US" sz="3200" baseline="0"/>
                  <a:t>, </a:t>
                </a:r>
                <a:fld id="{18C92CDF-878F-404E-A502-5320AFC6D879}" type="VALUE">
                  <a:rPr lang="en-US" sz="3200" baseline="0"/>
                  <a:pPr>
                    <a:defRPr/>
                  </a:pPr>
                  <a:t>[VALUE]</a:t>
                </a:fld>
                <a:endParaRPr lang="en-US" sz="3200" baseline="0"/>
              </a:p>
            </c:rich>
          </c:tx>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499331968855699"/>
                  <c:h val="0.12794131716954515"/>
                </c:manualLayout>
              </c15:layout>
              <c15:dlblFieldTable/>
              <c15:showDataLabelsRange val="0"/>
            </c:ext>
          </c:extLst>
        </c:dLbl>
      </c:pivotFmt>
    </c:pivotFmts>
    <c:plotArea>
      <c:layout>
        <c:manualLayout>
          <c:layoutTarget val="inner"/>
          <c:xMode val="edge"/>
          <c:yMode val="edge"/>
          <c:x val="0.12374421105075331"/>
          <c:y val="0.2829429198237341"/>
          <c:w val="0.87505081178725586"/>
          <c:h val="0.65496002356141125"/>
        </c:manualLayout>
      </c:layout>
      <c:barChart>
        <c:barDir val="col"/>
        <c:grouping val="clustered"/>
        <c:varyColors val="0"/>
        <c:ser>
          <c:idx val="0"/>
          <c:order val="0"/>
          <c:tx>
            <c:strRef>
              <c:f>'Employee Demographics'!$E$33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9BBB-4A13-A03E-5D13B284468D}"/>
              </c:ext>
            </c:extLst>
          </c:dPt>
          <c:dPt>
            <c:idx val="1"/>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9BBB-4A13-A03E-5D13B284468D}"/>
              </c:ext>
            </c:extLst>
          </c:dPt>
          <c:dLbls>
            <c:dLbl>
              <c:idx val="0"/>
              <c:layout>
                <c:manualLayout>
                  <c:x val="6.7655574639006007E-8"/>
                  <c:y val="-0.170205132290634"/>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0CEAD459-9687-4D70-84B5-835AAA7DDF2B}" type="CATEGORYNAME">
                      <a:rPr lang="en-US" sz="3200"/>
                      <a:pPr>
                        <a:defRPr/>
                      </a:pPr>
                      <a:t>[CATEGORY NAME]</a:t>
                    </a:fld>
                    <a:r>
                      <a:rPr lang="en-US" sz="3200" baseline="0"/>
                      <a:t>, </a:t>
                    </a:r>
                    <a:fld id="{18C92CDF-878F-404E-A502-5320AFC6D879}" type="VALUE">
                      <a:rPr lang="en-US" sz="3200" baseline="0"/>
                      <a:pPr>
                        <a:defRPr/>
                      </a:pPr>
                      <a:t>[VALUE]</a:t>
                    </a:fld>
                    <a:endParaRPr lang="en-US" sz="3200" baseline="0"/>
                  </a:p>
                </c:rich>
              </c:tx>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499331968855699"/>
                      <c:h val="0.12794131716954515"/>
                    </c:manualLayout>
                  </c15:layout>
                  <c15:dlblFieldTable/>
                  <c15:showDataLabelsRange val="0"/>
                </c:ext>
                <c:ext xmlns:c16="http://schemas.microsoft.com/office/drawing/2014/chart" uri="{C3380CC4-5D6E-409C-BE32-E72D297353CC}">
                  <c16:uniqueId val="{00000002-9BBB-4A13-A03E-5D13B284468D}"/>
                </c:ext>
              </c:extLst>
            </c:dLbl>
            <c:dLbl>
              <c:idx val="1"/>
              <c:layout>
                <c:manualLayout>
                  <c:x val="-1.8902899907365989E-2"/>
                  <c:y val="-7.5646766826659093E-2"/>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D47ECEA4-89B1-4899-B317-7EAA2099EF05}" type="CATEGORYNAME">
                      <a:rPr lang="en-US" sz="2400"/>
                      <a:pPr>
                        <a:defRPr/>
                      </a:pPr>
                      <a:t>[CATEGORY NAME]</a:t>
                    </a:fld>
                    <a:r>
                      <a:rPr lang="en-US" sz="2400" baseline="0"/>
                      <a:t>, </a:t>
                    </a:r>
                    <a:fld id="{1F884A3A-22A1-470D-9BD7-69F51318FDCE}" type="VALUE">
                      <a:rPr lang="en-US" sz="2400" baseline="0"/>
                      <a:pPr>
                        <a:defRPr/>
                      </a:pPr>
                      <a:t>[VALUE]</a:t>
                    </a:fld>
                    <a:endParaRPr lang="en-US" sz="2400" baseline="0"/>
                  </a:p>
                </c:rich>
              </c:tx>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274267851667585"/>
                      <c:h val="0.15908213518955808"/>
                    </c:manualLayout>
                  </c15:layout>
                  <c15:dlblFieldTable/>
                  <c15:showDataLabelsRange val="0"/>
                </c:ext>
                <c:ext xmlns:c16="http://schemas.microsoft.com/office/drawing/2014/chart" uri="{C3380CC4-5D6E-409C-BE32-E72D297353CC}">
                  <c16:uniqueId val="{00000001-9BBB-4A13-A03E-5D13B284468D}"/>
                </c:ext>
              </c:extLst>
            </c:dLbl>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'Employee Demographics'!$D$34:$D$36</c:f>
              <c:strCache>
                <c:ptCount val="2"/>
                <c:pt idx="0">
                  <c:v>other</c:v>
                </c:pt>
                <c:pt idx="1">
                  <c:v>MA</c:v>
                </c:pt>
              </c:strCache>
            </c:strRef>
          </c:cat>
          <c:val>
            <c:numRef>
              <c:f>'Employee Demographics'!$E$34:$E$36</c:f>
              <c:numCache>
                <c:formatCode>General</c:formatCode>
                <c:ptCount val="2"/>
                <c:pt idx="0">
                  <c:v>35</c:v>
                </c:pt>
                <c:pt idx="1">
                  <c:v>276</c:v>
                </c:pt>
              </c:numCache>
            </c:numRef>
          </c:val>
          <c:extLst>
            <c:ext xmlns:c16="http://schemas.microsoft.com/office/drawing/2014/chart" uri="{C3380CC4-5D6E-409C-BE32-E72D297353CC}">
              <c16:uniqueId val="{00000000-9BBB-4A13-A03E-5D13B284468D}"/>
            </c:ext>
          </c:extLst>
        </c:ser>
        <c:dLbls>
          <c:showLegendKey val="0"/>
          <c:showVal val="0"/>
          <c:showCatName val="0"/>
          <c:showSerName val="0"/>
          <c:showPercent val="0"/>
          <c:showBubbleSize val="0"/>
        </c:dLbls>
        <c:gapWidth val="65"/>
        <c:axId val="1020752047"/>
        <c:axId val="1020754447"/>
      </c:barChart>
      <c:catAx>
        <c:axId val="10207520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20754447"/>
        <c:crosses val="autoZero"/>
        <c:auto val="1"/>
        <c:lblAlgn val="ctr"/>
        <c:lblOffset val="100"/>
        <c:noMultiLvlLbl val="0"/>
      </c:catAx>
      <c:valAx>
        <c:axId val="10207544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2075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[hrDataset.xlsx]Employee Demographics!PivotTable3</c:name>
    <c:fmtId val="6"/>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sz="3600" b="1">
                <a:latin typeface="Bodoni MT Black" panose="02070A03080606020203" pitchFamily="18" charset="0"/>
              </a:rPr>
              <a:t>Employee race count</a:t>
            </a:r>
          </a:p>
        </c:rich>
      </c:tx>
      <c:layout>
        <c:manualLayout>
          <c:xMode val="edge"/>
          <c:yMode val="edge"/>
          <c:x val="0.33590331296798248"/>
          <c:y val="0.1118653889791686"/>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5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45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29909380203447"/>
          <c:y val="0.24513724025936198"/>
          <c:w val="0.86615695934455961"/>
          <c:h val="0.67716354257879385"/>
        </c:manualLayout>
      </c:layout>
      <c:barChart>
        <c:barDir val="col"/>
        <c:grouping val="clustered"/>
        <c:varyColors val="0"/>
        <c:ser>
          <c:idx val="0"/>
          <c:order val="0"/>
          <c:tx>
            <c:strRef>
              <c:f>'Employee Demographics'!$B$54</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5"/>
            <c:invertIfNegative val="0"/>
            <c:bubble3D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7740-4A89-A25C-1A197FF4F56C}"/>
              </c:ext>
            </c:extLst>
          </c:dPt>
          <c:dLbls>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40-4A89-A25C-1A197FF4F56C}"/>
                </c:ext>
              </c:extLst>
            </c:dLbl>
            <c:spPr>
              <a:noFill/>
              <a:ln>
                <a:noFill/>
              </a:ln>
              <a:effectLst/>
            </c:spPr>
            <c:txPr>
              <a:bodyPr rot="0" spcFirstLastPara="1" vertOverflow="ellipsis" vert="horz" wrap="square" lIns="38100" tIns="19050" rIns="38100" bIns="19050" anchor="ctr" anchorCtr="1">
                <a:spAutoFit/>
              </a:bodyPr>
              <a:lstStyle/>
              <a:p>
                <a:pPr>
                  <a:defRPr sz="45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'Employee Demographics'!$A$55:$A$61</c:f>
              <c:strCache>
                <c:ptCount val="6"/>
                <c:pt idx="0">
                  <c:v>American Indian or Alaska Native</c:v>
                </c:pt>
                <c:pt idx="1">
                  <c:v>Asian</c:v>
                </c:pt>
                <c:pt idx="2">
                  <c:v>Black or African American</c:v>
                </c:pt>
                <c:pt idx="3">
                  <c:v>Hispanic</c:v>
                </c:pt>
                <c:pt idx="4">
                  <c:v>Two or more races</c:v>
                </c:pt>
                <c:pt idx="5">
                  <c:v>White</c:v>
                </c:pt>
              </c:strCache>
            </c:strRef>
          </c:cat>
          <c:val>
            <c:numRef>
              <c:f>'Employee Demographics'!$B$55:$B$61</c:f>
              <c:numCache>
                <c:formatCode>General</c:formatCode>
                <c:ptCount val="6"/>
                <c:pt idx="0">
                  <c:v>3</c:v>
                </c:pt>
                <c:pt idx="1">
                  <c:v>29</c:v>
                </c:pt>
                <c:pt idx="2">
                  <c:v>80</c:v>
                </c:pt>
                <c:pt idx="3">
                  <c:v>1</c:v>
                </c:pt>
                <c:pt idx="4">
                  <c:v>11</c:v>
                </c:pt>
                <c:pt idx="5">
                  <c:v>187</c:v>
                </c:pt>
              </c:numCache>
            </c:numRef>
          </c:val>
          <c:extLst>
            <c:ext xmlns:c16="http://schemas.microsoft.com/office/drawing/2014/chart" uri="{C3380CC4-5D6E-409C-BE32-E72D297353CC}">
              <c16:uniqueId val="{00000000-7740-4A89-A25C-1A197FF4F56C}"/>
            </c:ext>
          </c:extLst>
        </c:ser>
        <c:dLbls>
          <c:dLblPos val="inEnd"/>
          <c:showLegendKey val="0"/>
          <c:showVal val="1"/>
          <c:showCatName val="0"/>
          <c:showSerName val="0"/>
          <c:showPercent val="0"/>
          <c:showBubbleSize val="0"/>
        </c:dLbls>
        <c:gapWidth val="41"/>
        <c:axId val="976441919"/>
        <c:axId val="974667599"/>
      </c:barChart>
      <c:catAx>
        <c:axId val="976441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30" b="0" i="0" u="none" strike="noStrike" kern="1200" baseline="0">
                <a:solidFill>
                  <a:schemeClr val="dk1">
                    <a:lumMod val="65000"/>
                    <a:lumOff val="35000"/>
                  </a:schemeClr>
                </a:solidFill>
                <a:effectLst/>
                <a:latin typeface="+mj-lt"/>
                <a:ea typeface="+mn-ea"/>
                <a:cs typeface="+mn-cs"/>
              </a:defRPr>
            </a:pPr>
            <a:endParaRPr lang="en-US"/>
          </a:p>
        </c:txPr>
        <c:crossAx val="974667599"/>
        <c:crosses val="autoZero"/>
        <c:auto val="1"/>
        <c:lblAlgn val="ctr"/>
        <c:lblOffset val="100"/>
        <c:noMultiLvlLbl val="0"/>
      </c:catAx>
      <c:valAx>
        <c:axId val="974667599"/>
        <c:scaling>
          <c:orientation val="minMax"/>
        </c:scaling>
        <c:delete val="1"/>
        <c:axPos val="l"/>
        <c:numFmt formatCode="General" sourceLinked="1"/>
        <c:majorTickMark val="none"/>
        <c:minorTickMark val="none"/>
        <c:tickLblPos val="nextTo"/>
        <c:crossAx val="976441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[hrDataset.xlsx]Employee Demographics!PivotTable9</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4000"/>
              <a:t>Status</a:t>
            </a:r>
          </a:p>
        </c:rich>
      </c:tx>
      <c:layout>
        <c:manualLayout>
          <c:xMode val="edge"/>
          <c:yMode val="edge"/>
          <c:x val="0.46265278127531501"/>
          <c:y val="4.288745564400114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7.861329833770779E-2"/>
              <c:y val="-0.11163854518185228"/>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1.0621609798775168E-2"/>
              <c:y val="5.634001632148912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dLbl>
          <c:idx val="0"/>
          <c:layout>
            <c:manualLayout>
              <c:x val="-1.0621609798775168E-2"/>
              <c:y val="5.634001632148912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7.861329833770779E-2"/>
              <c:y val="-0.11163854518185228"/>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FD13E865-FC42-4471-882D-504006CAE216}" type="CATEGORYNAME">
                  <a:rPr lang="en-US" sz="2400"/>
                  <a:pPr>
                    <a:defRPr sz="1000" b="1" i="0" u="none" strike="noStrike" kern="1200" baseline="0">
                      <a:solidFill>
                        <a:schemeClr val="lt1"/>
                      </a:solidFill>
                      <a:latin typeface="+mn-lt"/>
                      <a:ea typeface="+mn-ea"/>
                      <a:cs typeface="+mn-cs"/>
                    </a:defRPr>
                  </a:pPr>
                  <a:t>[CATEGORY NAME]</a:t>
                </a:fld>
                <a:r>
                  <a:rPr lang="en-US" sz="2400" baseline="0"/>
                  <a:t>
</a:t>
                </a:r>
                <a:fld id="{15A2092D-7B28-4BD8-B18C-CC2F1871E7C6}" type="PERCENTAGE">
                  <a:rPr lang="en-US" sz="2400" baseline="0"/>
                  <a:pPr>
                    <a:defRPr sz="1000" b="1" i="0" u="none" strike="noStrike" kern="1200" baseline="0">
                      <a:solidFill>
                        <a:schemeClr val="lt1"/>
                      </a:solidFill>
                      <a:latin typeface="+mn-lt"/>
                      <a:ea typeface="+mn-ea"/>
                      <a:cs typeface="+mn-cs"/>
                    </a:defRPr>
                  </a:pPr>
                  <a:t>[PERCENTAGE]</a:t>
                </a:fld>
                <a:endParaRPr lang="en-US" sz="2400"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layout>
                <c:manualLayout>
                  <c:w val="0.17654162579896593"/>
                  <c:h val="0.20430175884721338"/>
                </c:manualLayout>
              </c15:layout>
              <c15:dlblFieldTable/>
              <c15:showDataLabelsRange val="0"/>
            </c:ext>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4.7449328270584984E-2"/>
              <c:y val="0.11098457976745892"/>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9A1BDA75-4909-40CF-9ACA-C93AEA4B8C15}" type="CATEGORYNAME">
                  <a:rPr lang="en-US" sz="2400"/>
                  <a:pPr>
                    <a:defRPr sz="1000" b="1" i="0" u="none" strike="noStrike" kern="1200" baseline="0">
                      <a:solidFill>
                        <a:schemeClr val="lt1"/>
                      </a:solidFill>
                      <a:latin typeface="+mn-lt"/>
                      <a:ea typeface="+mn-ea"/>
                      <a:cs typeface="+mn-cs"/>
                    </a:defRPr>
                  </a:pPr>
                  <a:t>[CATEGORY NAME]</a:t>
                </a:fld>
                <a:r>
                  <a:rPr lang="en-US" baseline="0"/>
                  <a:t>
</a:t>
                </a:r>
                <a:fld id="{17204286-91D8-4E45-8541-67596AE0A2A6}" type="PERCENTAGE">
                  <a:rPr lang="en-US" baseline="0"/>
                  <a:pPr>
                    <a:defRPr sz="1000" b="1" i="0" u="none" strike="noStrike" kern="1200" baseline="0">
                      <a:solidFill>
                        <a:schemeClr val="lt1"/>
                      </a:solidFill>
                      <a:latin typeface="+mn-lt"/>
                      <a:ea typeface="+mn-ea"/>
                      <a:cs typeface="+mn-cs"/>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8521065934216105"/>
                  <c:h val="0.17463445645263828"/>
                </c:manualLayout>
              </c15:layout>
              <c15:dlblFieldTable/>
              <c15:showDataLabelsRange val="0"/>
            </c:ext>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7.4785241550312506E-2"/>
              <c:y val="-0.10229436953719358"/>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C3238DF5-539E-49AD-A2EB-989B042F5FB6}" type="CATEGORYNAME">
                  <a:rPr lang="en-US" sz="2700" baseline="0"/>
                  <a:pPr>
                    <a:defRPr/>
                  </a:pPr>
                  <a:t>[CATEGORY NAME]</a:t>
                </a:fld>
                <a:r>
                  <a:rPr lang="en-US" sz="3600" baseline="0"/>
                  <a:t>
</a:t>
                </a:r>
                <a:fld id="{0CBAB567-86A5-4911-A2DE-9ABC99CB078C}" type="PERCENTAGE">
                  <a:rPr lang="en-US" sz="3600" baseline="0"/>
                  <a:pPr>
                    <a:defRPr/>
                  </a:pPr>
                  <a:t>[PERCENTAGE]</a:t>
                </a:fld>
                <a:endParaRPr lang="en-US" sz="3600"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2895257314235266"/>
                  <c:h val="0.22577080007221068"/>
                </c:manualLayout>
              </c15:layout>
              <c15:dlblFieldTable/>
              <c15:showDataLabelsRange val="0"/>
            </c:ext>
          </c:extLst>
        </c:dLbl>
      </c:pivotFmt>
    </c:pivotFmts>
    <c:plotArea>
      <c:layout>
        <c:manualLayout>
          <c:layoutTarget val="inner"/>
          <c:xMode val="edge"/>
          <c:yMode val="edge"/>
          <c:x val="0.18960341534406847"/>
          <c:y val="0.34519111764283333"/>
          <c:w val="0.38059961616069665"/>
          <c:h val="0.74893346270104866"/>
        </c:manualLayout>
      </c:layout>
      <c:pieChart>
        <c:varyColors val="1"/>
        <c:ser>
          <c:idx val="0"/>
          <c:order val="0"/>
          <c:tx>
            <c:strRef>
              <c:f>'Employee Demographics'!$B$81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870-4E60-A4F6-C7B12A3D396F}"/>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870-4E60-A4F6-C7B12A3D396F}"/>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870-4E60-A4F6-C7B12A3D396F}"/>
              </c:ext>
            </c:extLst>
          </c:dPt>
          <c:dLbls>
            <c:dLbl>
              <c:idx val="0"/>
              <c:layout>
                <c:manualLayout>
                  <c:x val="7.4785241550312506E-2"/>
                  <c:y val="-0.10229436953719358"/>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C3238DF5-539E-49AD-A2EB-989B042F5FB6}" type="CATEGORYNAME">
                      <a:rPr lang="en-US" sz="2700" baseline="0"/>
                      <a:pPr>
                        <a:defRPr/>
                      </a:pPr>
                      <a:t>[CATEGORY NAME]</a:t>
                    </a:fld>
                    <a:r>
                      <a:rPr lang="en-US" sz="3600" baseline="0"/>
                      <a:t>
</a:t>
                    </a:r>
                    <a:fld id="{0CBAB567-86A5-4911-A2DE-9ABC99CB078C}" type="PERCENTAGE">
                      <a:rPr lang="en-US" sz="3600" baseline="0"/>
                      <a:pPr>
                        <a:defRPr/>
                      </a:pPr>
                      <a:t>[PERCENTAGE]</a:t>
                    </a:fld>
                    <a:endParaRPr lang="en-US" sz="3600"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2895257314235266"/>
                      <c:h val="0.22577080007221068"/>
                    </c:manualLayout>
                  </c15:layout>
                  <c15:dlblFieldTable/>
                  <c15:showDataLabelsRange val="0"/>
                </c:ext>
                <c:ext xmlns:c16="http://schemas.microsoft.com/office/drawing/2014/chart" uri="{C3380CC4-5D6E-409C-BE32-E72D297353CC}">
                  <c16:uniqueId val="{00000001-3870-4E60-A4F6-C7B12A3D396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'Employee Demographics'!$A$82:$A$83</c:f>
              <c:strCache>
                <c:ptCount val="1"/>
                <c:pt idx="0">
                  <c:v>Voluntarily Terminated</c:v>
                </c:pt>
              </c:strCache>
            </c:strRef>
          </c:cat>
          <c:val>
            <c:numRef>
              <c:f>'Employee Demographics'!$B$82:$B$83</c:f>
              <c:numCache>
                <c:formatCode>General</c:formatCode>
                <c:ptCount val="1"/>
                <c:pt idx="0">
                  <c:v>88</c:v>
                </c:pt>
              </c:numCache>
            </c:numRef>
          </c:val>
          <c:extLst>
            <c:ext xmlns:c16="http://schemas.microsoft.com/office/drawing/2014/chart" uri="{C3380CC4-5D6E-409C-BE32-E72D297353CC}">
              <c16:uniqueId val="{00000006-3870-4E60-A4F6-C7B12A3D396F}"/>
            </c:ext>
          </c:extLst>
        </c:ser>
        <c:dLbls>
          <c:dLblPos val="ctr"/>
          <c:showLegendKey val="0"/>
          <c:showVal val="0"/>
          <c:showCatName val="1"/>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2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[hrDataset.xlsx]Employee Demographics!PivotTable10</c:name>
    <c:fmtId val="2"/>
  </c:pivotSource>
  <c:chart>
    <c:title>
      <c:tx>
        <c:rich>
          <a:bodyPr rot="0" spcFirstLastPara="1" vertOverflow="ellipsis" vert="horz" wrap="square" anchor="ctr" anchorCtr="1"/>
          <a:lstStyle/>
          <a:p>
            <a:pPr>
              <a:defRPr sz="2880" b="1" i="0" u="none" strike="noStrike" kern="1200" baseline="0">
                <a:solidFill>
                  <a:schemeClr val="tx1">
                    <a:lumMod val="65000"/>
                    <a:lumOff val="35000"/>
                  </a:schemeClr>
                </a:solidFill>
                <a:latin typeface="+mn-lt"/>
                <a:ea typeface="+mn-ea"/>
                <a:cs typeface="+mn-cs"/>
              </a:defRPr>
            </a:pPr>
            <a:r>
              <a:rPr lang="en-US" sz="3200"/>
              <a:t>Employement status</a:t>
            </a:r>
          </a:p>
        </c:rich>
      </c:tx>
      <c:layout>
        <c:manualLayout>
          <c:xMode val="edge"/>
          <c:yMode val="edge"/>
          <c:x val="9.258402957216573E-2"/>
          <c:y val="5.2071542664068785E-2"/>
        </c:manualLayout>
      </c:layout>
      <c:overlay val="0"/>
      <c:spPr>
        <a:noFill/>
        <a:ln>
          <a:noFill/>
        </a:ln>
        <a:effectLst/>
      </c:spPr>
      <c:txPr>
        <a:bodyPr rot="0" spcFirstLastPara="1" vertOverflow="ellipsis" vert="horz" wrap="square" anchor="ctr" anchorCtr="1"/>
        <a:lstStyle/>
        <a:p>
          <a:pPr>
            <a:defRPr sz="288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anchor="ctr" anchorCtr="1"/>
            <a:lstStyle/>
            <a:p>
              <a:pPr>
                <a:defRPr sz="4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27286032430365"/>
          <c:y val="0.30489021751270301"/>
          <c:w val="0.77378937007874016"/>
          <c:h val="0.53774387576552929"/>
        </c:manualLayout>
      </c:layout>
      <c:barChart>
        <c:barDir val="col"/>
        <c:grouping val="clustered"/>
        <c:varyColors val="0"/>
        <c:ser>
          <c:idx val="0"/>
          <c:order val="0"/>
          <c:tx>
            <c:strRef>
              <c:f>'Employee Demographics'!$F$82</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anchor="ctr" anchorCtr="1"/>
              <a:lstStyle/>
              <a:p>
                <a:pPr>
                  <a:defRPr sz="4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Demographics'!$E$83:$E$86</c:f>
              <c:strCache>
                <c:ptCount val="3"/>
                <c:pt idx="0">
                  <c:v>Active</c:v>
                </c:pt>
                <c:pt idx="1">
                  <c:v>Terminated for Cause</c:v>
                </c:pt>
                <c:pt idx="2">
                  <c:v>Voluntarily Terminated</c:v>
                </c:pt>
              </c:strCache>
            </c:strRef>
          </c:cat>
          <c:val>
            <c:numRef>
              <c:f>'Employee Demographics'!$F$83:$F$86</c:f>
              <c:numCache>
                <c:formatCode>General</c:formatCode>
                <c:ptCount val="3"/>
                <c:pt idx="0">
                  <c:v>207</c:v>
                </c:pt>
                <c:pt idx="1">
                  <c:v>16</c:v>
                </c:pt>
                <c:pt idx="2">
                  <c:v>88</c:v>
                </c:pt>
              </c:numCache>
            </c:numRef>
          </c:val>
          <c:extLst>
            <c:ext xmlns:c16="http://schemas.microsoft.com/office/drawing/2014/chart" uri="{C3380CC4-5D6E-409C-BE32-E72D297353CC}">
              <c16:uniqueId val="{00000000-F19C-445F-93D5-03B74D76C8D4}"/>
            </c:ext>
          </c:extLst>
        </c:ser>
        <c:dLbls>
          <c:dLblPos val="outEnd"/>
          <c:showLegendKey val="0"/>
          <c:showVal val="1"/>
          <c:showCatName val="0"/>
          <c:showSerName val="0"/>
          <c:showPercent val="0"/>
          <c:showBubbleSize val="0"/>
        </c:dLbls>
        <c:gapWidth val="100"/>
        <c:overlap val="-24"/>
        <c:axId val="946238128"/>
        <c:axId val="946247728"/>
      </c:barChart>
      <c:catAx>
        <c:axId val="9462381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946247728"/>
        <c:crosses val="autoZero"/>
        <c:auto val="1"/>
        <c:lblAlgn val="ctr"/>
        <c:lblOffset val="100"/>
        <c:noMultiLvlLbl val="0"/>
      </c:catAx>
      <c:valAx>
        <c:axId val="946247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94623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4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[hrDataset.xlsx]Salary&amp; Compensations!PivotTable1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800"/>
              <a:t>Deparment Average Salry</a:t>
            </a:r>
          </a:p>
        </c:rich>
      </c:tx>
      <c:layout>
        <c:manualLayout>
          <c:xMode val="edge"/>
          <c:yMode val="edge"/>
          <c:x val="0.34960541876787637"/>
          <c:y val="2.8560756767702199E-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dLbl>
          <c:idx val="0"/>
          <c:layout>
            <c:manualLayout>
              <c:x val="0.26182931560884409"/>
              <c:y val="9.131711948862905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7.8491103909528528E-2"/>
              <c:y val="-0.1704947201935154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dLbl>
          <c:idx val="0"/>
          <c:layout>
            <c:manualLayout>
              <c:x val="6.5745657823913367E-2"/>
              <c:y val="0.1847285804585591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dLbl>
          <c:idx val="0"/>
          <c:layout>
            <c:manualLayout>
              <c:x val="-0.1368943905677002"/>
              <c:y val="6.843259935038807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dLbl>
          <c:idx val="0"/>
          <c:layout>
            <c:manualLayout>
              <c:x val="-7.3880506632606452E-2"/>
              <c:y val="1.510470681271523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dLbl>
          <c:idx val="0"/>
          <c:layout>
            <c:manualLayout>
              <c:x val="-8.3664198718808369E-2"/>
              <c:y val="-4.423972584288801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33411403848239446"/>
                  <c:h val="0.14574922943278548"/>
                </c:manualLayout>
              </c15:layout>
            </c:ext>
          </c:extLst>
        </c:dLbl>
      </c:pivotFmt>
    </c:pivotFmts>
    <c:plotArea>
      <c:layout>
        <c:manualLayout>
          <c:layoutTarget val="inner"/>
          <c:xMode val="edge"/>
          <c:yMode val="edge"/>
          <c:x val="0.12002537182852144"/>
          <c:y val="0.27717373869932921"/>
          <c:w val="0.73578937007874012"/>
          <c:h val="0.48688721201516477"/>
        </c:manualLayout>
      </c:layout>
      <c:pieChart>
        <c:varyColors val="1"/>
        <c:ser>
          <c:idx val="0"/>
          <c:order val="0"/>
          <c:tx>
            <c:strRef>
              <c:f>'Salary&amp; Compensations'!$B$17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D34-4087-8E16-F6E8542C9C6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D34-4087-8E16-F6E8542C9C6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D34-4087-8E16-F6E8542C9C6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D34-4087-8E16-F6E8542C9C6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D34-4087-8E16-F6E8542C9C69}"/>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AD34-4087-8E16-F6E8542C9C69}"/>
              </c:ext>
            </c:extLst>
          </c:dPt>
          <c:dLbls>
            <c:dLbl>
              <c:idx val="0"/>
              <c:layout>
                <c:manualLayout>
                  <c:x val="0.26182931560884409"/>
                  <c:y val="9.1317119488629056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D34-4087-8E16-F6E8542C9C69}"/>
                </c:ext>
              </c:extLst>
            </c:dLbl>
            <c:dLbl>
              <c:idx val="1"/>
              <c:layout>
                <c:manualLayout>
                  <c:x val="7.8491103909528528E-2"/>
                  <c:y val="-0.17049472019351544"/>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D34-4087-8E16-F6E8542C9C69}"/>
                </c:ext>
              </c:extLst>
            </c:dLbl>
            <c:dLbl>
              <c:idx val="2"/>
              <c:layout>
                <c:manualLayout>
                  <c:x val="6.5745657823913367E-2"/>
                  <c:y val="0.18472858045855919"/>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D34-4087-8E16-F6E8542C9C69}"/>
                </c:ext>
              </c:extLst>
            </c:dLbl>
            <c:dLbl>
              <c:idx val="3"/>
              <c:layout>
                <c:manualLayout>
                  <c:x val="-0.1368943905677002"/>
                  <c:y val="6.8432599350388076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D34-4087-8E16-F6E8542C9C69}"/>
                </c:ext>
              </c:extLst>
            </c:dLbl>
            <c:dLbl>
              <c:idx val="4"/>
              <c:layout>
                <c:manualLayout>
                  <c:x val="-7.3880506632606452E-2"/>
                  <c:y val="1.5104706812715238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D34-4087-8E16-F6E8542C9C69}"/>
                </c:ext>
              </c:extLst>
            </c:dLbl>
            <c:dLbl>
              <c:idx val="5"/>
              <c:layout>
                <c:manualLayout>
                  <c:x val="-8.3664198718808369E-2"/>
                  <c:y val="-4.4239725842888017E-2"/>
                </c:manualLayout>
              </c:layout>
              <c:dLblPos val="bestFit"/>
              <c:showLegendKey val="0"/>
              <c:showVal val="1"/>
              <c:showCatName val="0"/>
              <c:showSerName val="0"/>
              <c:showPercent val="1"/>
              <c:showBubbleSize val="0"/>
              <c:extLst>
                <c:ext xmlns:c15="http://schemas.microsoft.com/office/drawing/2012/chart" uri="{CE6537A1-D6FC-4f65-9D91-7224C49458BB}">
                  <c15:layout>
                    <c:manualLayout>
                      <c:w val="0.33411403848239446"/>
                      <c:h val="0.14574922943278548"/>
                    </c:manualLayout>
                  </c15:layout>
                </c:ext>
                <c:ext xmlns:c16="http://schemas.microsoft.com/office/drawing/2014/chart" uri="{C3380CC4-5D6E-409C-BE32-E72D297353CC}">
                  <c16:uniqueId val="{0000000B-AD34-4087-8E16-F6E8542C9C6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'Salary&amp; Compensations'!$A$18:$A$24</c:f>
              <c:strCache>
                <c:ptCount val="6"/>
                <c:pt idx="0">
                  <c:v>Admin Offices</c:v>
                </c:pt>
                <c:pt idx="1">
                  <c:v>Executive Office</c:v>
                </c:pt>
                <c:pt idx="2">
                  <c:v>IT/IS</c:v>
                </c:pt>
                <c:pt idx="3">
                  <c:v>Production       </c:v>
                </c:pt>
                <c:pt idx="4">
                  <c:v>Sales</c:v>
                </c:pt>
                <c:pt idx="5">
                  <c:v>Software Engineering</c:v>
                </c:pt>
              </c:strCache>
            </c:strRef>
          </c:cat>
          <c:val>
            <c:numRef>
              <c:f>'Salary&amp; Compensations'!$B$18:$B$24</c:f>
              <c:numCache>
                <c:formatCode>General</c:formatCode>
                <c:ptCount val="6"/>
                <c:pt idx="0">
                  <c:v>71791.888888888891</c:v>
                </c:pt>
                <c:pt idx="1">
                  <c:v>250000</c:v>
                </c:pt>
                <c:pt idx="2">
                  <c:v>97064.639999999999</c:v>
                </c:pt>
                <c:pt idx="3">
                  <c:v>59953.545454545456</c:v>
                </c:pt>
                <c:pt idx="4">
                  <c:v>69061.258064516136</c:v>
                </c:pt>
                <c:pt idx="5">
                  <c:v>94989.454545454544</c:v>
                </c:pt>
              </c:numCache>
            </c:numRef>
          </c:val>
          <c:extLst>
            <c:ext xmlns:c16="http://schemas.microsoft.com/office/drawing/2014/chart" uri="{C3380CC4-5D6E-409C-BE32-E72D297353CC}">
              <c16:uniqueId val="{0000000C-AD34-4087-8E16-F6E8542C9C69}"/>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[hrDataset.xlsx]Salary&amp; Compensations!PivotTable2</c:name>
    <c:fmtId val="4"/>
  </c:pivotSource>
  <c:chart>
    <c:title>
      <c:tx>
        <c:rich>
          <a:bodyPr rot="0" spcFirstLastPara="1" vertOverflow="ellipsis" vert="horz" wrap="square" anchor="ctr" anchorCtr="1"/>
          <a:lstStyle/>
          <a:p>
            <a:pPr>
              <a:defRPr sz="3400" b="1" i="0" u="none" strike="noStrike" kern="1200" baseline="0">
                <a:solidFill>
                  <a:schemeClr val="tx1">
                    <a:lumMod val="65000"/>
                    <a:lumOff val="35000"/>
                  </a:schemeClr>
                </a:solidFill>
                <a:latin typeface="+mn-lt"/>
                <a:ea typeface="+mn-ea"/>
                <a:cs typeface="+mn-cs"/>
              </a:defRPr>
            </a:pPr>
            <a:r>
              <a:rPr lang="en-IN" sz="3400" baseline="0"/>
              <a:t>Top 5 position avg salary</a:t>
            </a:r>
          </a:p>
        </c:rich>
      </c:tx>
      <c:layout>
        <c:manualLayout>
          <c:xMode val="edge"/>
          <c:yMode val="edge"/>
          <c:x val="0.30516639242148558"/>
          <c:y val="5.7857952501880097E-2"/>
        </c:manualLayout>
      </c:layout>
      <c:overlay val="0"/>
      <c:spPr>
        <a:noFill/>
        <a:ln>
          <a:noFill/>
        </a:ln>
        <a:effectLst/>
      </c:spPr>
      <c:txPr>
        <a:bodyPr rot="0" spcFirstLastPara="1" vertOverflow="ellipsis" vert="horz" wrap="square" anchor="ctr" anchorCtr="1"/>
        <a:lstStyle/>
        <a:p>
          <a:pPr>
            <a:defRPr sz="3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26348115527094"/>
          <c:y val="9.8848696266996758E-2"/>
          <c:w val="0.78592407980840906"/>
          <c:h val="0.63301813272451868"/>
        </c:manualLayout>
      </c:layout>
      <c:barChart>
        <c:barDir val="col"/>
        <c:grouping val="clustered"/>
        <c:varyColors val="0"/>
        <c:ser>
          <c:idx val="0"/>
          <c:order val="0"/>
          <c:tx>
            <c:strRef>
              <c:f>'Salary&amp; Compensations'!$H$17</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'Salary&amp; Compensations'!$G$18:$G$30</c:f>
              <c:multiLvlStrCache>
                <c:ptCount val="10"/>
                <c:lvl>
                  <c:pt idx="0">
                    <c:v>CIO</c:v>
                  </c:pt>
                  <c:pt idx="1">
                    <c:v>Director of Operations</c:v>
                  </c:pt>
                  <c:pt idx="2">
                    <c:v>Director of Sales</c:v>
                  </c:pt>
                  <c:pt idx="3">
                    <c:v>IT Director</c:v>
                  </c:pt>
                  <c:pt idx="4">
                    <c:v>President &amp; CEO</c:v>
                  </c:pt>
                  <c:pt idx="5">
                    <c:v>Area Sales Manager</c:v>
                  </c:pt>
                  <c:pt idx="6">
                    <c:v>Data Analyst</c:v>
                  </c:pt>
                  <c:pt idx="7">
                    <c:v>Production Manager</c:v>
                  </c:pt>
                  <c:pt idx="8">
                    <c:v>Production Technician II</c:v>
                  </c:pt>
                  <c:pt idx="9">
                    <c:v>Software Engineer</c:v>
                  </c:pt>
                </c:lvl>
                <c:lvl>
                  <c:pt idx="0">
                    <c:v>Group1</c:v>
                  </c:pt>
                  <c:pt idx="5">
                    <c:v>Group2</c:v>
                  </c:pt>
                </c:lvl>
              </c:multiLvlStrCache>
            </c:multiLvlStrRef>
          </c:cat>
          <c:val>
            <c:numRef>
              <c:f>'Salary&amp; Compensations'!$H$18:$H$30</c:f>
              <c:numCache>
                <c:formatCode>General</c:formatCode>
                <c:ptCount val="10"/>
                <c:pt idx="0">
                  <c:v>220450</c:v>
                </c:pt>
                <c:pt idx="1">
                  <c:v>170500</c:v>
                </c:pt>
                <c:pt idx="2">
                  <c:v>180000</c:v>
                </c:pt>
                <c:pt idx="3">
                  <c:v>178000</c:v>
                </c:pt>
                <c:pt idx="4">
                  <c:v>250000</c:v>
                </c:pt>
                <c:pt idx="5">
                  <c:v>64932.555555555555</c:v>
                </c:pt>
                <c:pt idx="6">
                  <c:v>89932.571428571435</c:v>
                </c:pt>
                <c:pt idx="7">
                  <c:v>75294.5</c:v>
                </c:pt>
                <c:pt idx="8">
                  <c:v>64892.210526315786</c:v>
                </c:pt>
                <c:pt idx="9">
                  <c:v>96719.2</c:v>
                </c:pt>
              </c:numCache>
            </c:numRef>
          </c:val>
          <c:extLst>
            <c:ext xmlns:c16="http://schemas.microsoft.com/office/drawing/2014/chart" uri="{C3380CC4-5D6E-409C-BE32-E72D297353CC}">
              <c16:uniqueId val="{00000000-FCF9-4404-86CA-D071C31C4B04}"/>
            </c:ext>
          </c:extLst>
        </c:ser>
        <c:dLbls>
          <c:dLblPos val="outEnd"/>
          <c:showLegendKey val="0"/>
          <c:showVal val="1"/>
          <c:showCatName val="0"/>
          <c:showSerName val="0"/>
          <c:showPercent val="0"/>
          <c:showBubbleSize val="0"/>
        </c:dLbls>
        <c:gapWidth val="100"/>
        <c:overlap val="-24"/>
        <c:axId val="342844016"/>
        <c:axId val="342844496"/>
      </c:barChart>
      <c:catAx>
        <c:axId val="342844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342844496"/>
        <c:crosses val="autoZero"/>
        <c:auto val="1"/>
        <c:lblAlgn val="ctr"/>
        <c:lblOffset val="100"/>
        <c:noMultiLvlLbl val="0"/>
      </c:catAx>
      <c:valAx>
        <c:axId val="34284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34284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5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[hrDataset.xlsx]Salary&amp; Compensations!PivotTable3</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3600"/>
              <a:t>Manager salary analysis</a:t>
            </a:r>
          </a:p>
        </c:rich>
      </c:tx>
      <c:layout>
        <c:manualLayout>
          <c:xMode val="edge"/>
          <c:yMode val="edge"/>
          <c:x val="0.39777235040200715"/>
          <c:y val="5.760196006104217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pivotFmt>
      <c:pivotFmt>
        <c:idx val="2"/>
        <c:spPr>
          <a:solidFill>
            <a:schemeClr val="accent1">
              <a:alpha val="85000"/>
            </a:schemeClr>
          </a:solidFill>
          <a:ln w="9525" cap="flat" cmpd="sng" algn="ctr">
            <a:solidFill>
              <a:schemeClr val="lt1">
                <a:alpha val="50000"/>
              </a:schemeClr>
            </a:solidFill>
            <a:round/>
          </a:ln>
          <a:effectLst/>
        </c:spPr>
      </c:pivotFmt>
      <c:pivotFmt>
        <c:idx val="3"/>
        <c:dLbl>
          <c:idx val="0"/>
          <c:dLblPos val="ct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81492886248393"/>
          <c:y val="0.32304769748797107"/>
          <c:w val="0.7104560367454068"/>
          <c:h val="0.53774387576552929"/>
        </c:manualLayout>
      </c:layout>
      <c:barChart>
        <c:barDir val="col"/>
        <c:grouping val="clustered"/>
        <c:varyColors val="0"/>
        <c:ser>
          <c:idx val="0"/>
          <c:order val="0"/>
          <c:tx>
            <c:strRef>
              <c:f>'Salary&amp; Compensations'!$B$42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'Salary&amp; Compensations'!$A$43:$A$45</c:f>
              <c:strCache>
                <c:ptCount val="2"/>
                <c:pt idx="0">
                  <c:v>lowest salry </c:v>
                </c:pt>
                <c:pt idx="1">
                  <c:v>higest salary</c:v>
                </c:pt>
              </c:strCache>
            </c:strRef>
          </c:cat>
          <c:val>
            <c:numRef>
              <c:f>'Salary&amp; Compensations'!$B$43:$B$45</c:f>
              <c:numCache>
                <c:formatCode>General</c:formatCode>
                <c:ptCount val="2"/>
                <c:pt idx="0">
                  <c:v>102</c:v>
                </c:pt>
                <c:pt idx="1">
                  <c:v>209</c:v>
                </c:pt>
              </c:numCache>
            </c:numRef>
          </c:val>
          <c:extLst>
            <c:ext xmlns:c16="http://schemas.microsoft.com/office/drawing/2014/chart" uri="{C3380CC4-5D6E-409C-BE32-E72D297353CC}">
              <c16:uniqueId val="{00000000-30FA-46CB-B270-0DDAF11934BC}"/>
            </c:ext>
          </c:extLst>
        </c:ser>
        <c:dLbls>
          <c:dLblPos val="inBase"/>
          <c:showLegendKey val="0"/>
          <c:showVal val="1"/>
          <c:showCatName val="0"/>
          <c:showSerName val="0"/>
          <c:showPercent val="0"/>
          <c:showBubbleSize val="0"/>
        </c:dLbls>
        <c:gapWidth val="65"/>
        <c:axId val="443577536"/>
        <c:axId val="443569376"/>
      </c:barChart>
      <c:catAx>
        <c:axId val="4435775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2400" b="0" i="0" u="none" strike="noStrike" kern="1200" cap="all" baseline="0">
                <a:solidFill>
                  <a:schemeClr val="dk1">
                    <a:lumMod val="75000"/>
                    <a:lumOff val="25000"/>
                  </a:schemeClr>
                </a:solidFill>
                <a:latin typeface="+mn-lt"/>
                <a:ea typeface="+mn-ea"/>
                <a:cs typeface="+mn-cs"/>
              </a:defRPr>
            </a:pPr>
            <a:endParaRPr lang="en-US"/>
          </a:p>
        </c:txPr>
        <c:crossAx val="443569376"/>
        <c:crosses val="autoZero"/>
        <c:auto val="1"/>
        <c:lblAlgn val="ctr"/>
        <c:lblOffset val="100"/>
        <c:noMultiLvlLbl val="0"/>
      </c:catAx>
      <c:valAx>
        <c:axId val="4435693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4357753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[hrDataset.xlsx]Salary&amp; Compensations!PivotTable5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2800"/>
              <a:t>male female count</a:t>
            </a:r>
          </a:p>
        </c:rich>
      </c:tx>
      <c:layout>
        <c:manualLayout>
          <c:xMode val="edge"/>
          <c:yMode val="edge"/>
          <c:x val="0.30384156241406673"/>
          <c:y val="6.07390572532081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4.7952286810211131E-2"/>
              <c:y val="-0.1667037738976056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9.6597943536706199E-3"/>
              <c:y val="-0.2515756959845409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7.4016777668192243E-2"/>
          <c:y val="0.23780927903226765"/>
          <c:w val="0.7572613735783027"/>
          <c:h val="0.60440769214871759"/>
        </c:manualLayout>
      </c:layout>
      <c:pieChart>
        <c:varyColors val="1"/>
        <c:ser>
          <c:idx val="0"/>
          <c:order val="0"/>
          <c:tx>
            <c:strRef>
              <c:f>'Salary&amp; Compensations'!$I$42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45B5-4FFA-99A4-0D644F57C88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5B5-4FFA-99A4-0D644F57C888}"/>
              </c:ext>
            </c:extLst>
          </c:dPt>
          <c:dLbls>
            <c:dLbl>
              <c:idx val="0"/>
              <c:layout>
                <c:manualLayout>
                  <c:x val="9.6597943536706199E-3"/>
                  <c:y val="-0.25157569598454099"/>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5B5-4FFA-99A4-0D644F57C888}"/>
                </c:ext>
              </c:extLst>
            </c:dLbl>
            <c:dLbl>
              <c:idx val="1"/>
              <c:layout>
                <c:manualLayout>
                  <c:x val="-4.7952286810211131E-2"/>
                  <c:y val="-0.16670377389760566"/>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5B5-4FFA-99A4-0D644F57C888}"/>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'Salary&amp; Compensations'!$H$43:$H$45</c:f>
              <c:strCache>
                <c:ptCount val="2"/>
                <c:pt idx="0">
                  <c:v>F</c:v>
                </c:pt>
                <c:pt idx="1">
                  <c:v>M </c:v>
                </c:pt>
              </c:strCache>
            </c:strRef>
          </c:cat>
          <c:val>
            <c:numRef>
              <c:f>'Salary&amp; Compensations'!$I$43:$I$45</c:f>
              <c:numCache>
                <c:formatCode>General</c:formatCode>
                <c:ptCount val="2"/>
                <c:pt idx="0">
                  <c:v>67786.727272727279</c:v>
                </c:pt>
                <c:pt idx="1">
                  <c:v>70629.399999999994</c:v>
                </c:pt>
              </c:numCache>
            </c:numRef>
          </c:val>
          <c:extLst>
            <c:ext xmlns:c16="http://schemas.microsoft.com/office/drawing/2014/chart" uri="{C3380CC4-5D6E-409C-BE32-E72D297353CC}">
              <c16:uniqueId val="{00000000-45B5-4FFA-99A4-0D644F57C88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25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[hrDataset.xlsx]Salary&amp; Compensations!PivotTable4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3600" b="1">
                <a:latin typeface="Arial Black" panose="020B0A04020102020204" pitchFamily="34" charset="0"/>
              </a:rPr>
              <a:t>Average</a:t>
            </a:r>
            <a:r>
              <a:rPr lang="en-IN" sz="3600" b="1" baseline="0">
                <a:latin typeface="Arial Black" panose="020B0A04020102020204" pitchFamily="34" charset="0"/>
              </a:rPr>
              <a:t> Sa</a:t>
            </a:r>
            <a:r>
              <a:rPr lang="en-IN" sz="3600" b="1">
                <a:latin typeface="Arial Black" panose="020B0A04020102020204" pitchFamily="34" charset="0"/>
              </a:rPr>
              <a:t>lary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14516025975804"/>
          <c:y val="0.35315307535536872"/>
          <c:w val="0.70925196850393701"/>
          <c:h val="0.53774387576552929"/>
        </c:manualLayout>
      </c:layout>
      <c:lineChart>
        <c:grouping val="standard"/>
        <c:varyColors val="0"/>
        <c:ser>
          <c:idx val="0"/>
          <c:order val="0"/>
          <c:tx>
            <c:strRef>
              <c:f>'Salary&amp; Compensations'!$B$64</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og"/>
            <c:dispRSqr val="0"/>
            <c:dispEq val="0"/>
          </c:trendline>
          <c:cat>
            <c:strRef>
              <c:f>'Salary&amp; Compensations'!$A$65:$A$70</c:f>
              <c:strCache>
                <c:ptCount val="5"/>
                <c:pt idx="0">
                  <c:v>21-30</c:v>
                </c:pt>
                <c:pt idx="1">
                  <c:v>31-40</c:v>
                </c:pt>
                <c:pt idx="2">
                  <c:v>41-50</c:v>
                </c:pt>
                <c:pt idx="3">
                  <c:v>51-60</c:v>
                </c:pt>
                <c:pt idx="4">
                  <c:v>60+</c:v>
                </c:pt>
              </c:strCache>
            </c:strRef>
          </c:cat>
          <c:val>
            <c:numRef>
              <c:f>'Salary&amp; Compensations'!$B$65:$B$70</c:f>
              <c:numCache>
                <c:formatCode>General</c:formatCode>
                <c:ptCount val="5"/>
                <c:pt idx="0">
                  <c:v>58737</c:v>
                </c:pt>
                <c:pt idx="1">
                  <c:v>68621.601307189543</c:v>
                </c:pt>
                <c:pt idx="2">
                  <c:v>68831.877551020414</c:v>
                </c:pt>
                <c:pt idx="3">
                  <c:v>70585.027777777781</c:v>
                </c:pt>
                <c:pt idx="4">
                  <c:v>79510.461538461532</c:v>
                </c:pt>
              </c:numCache>
            </c:numRef>
          </c:val>
          <c:smooth val="0"/>
          <c:extLst>
            <c:ext xmlns:c16="http://schemas.microsoft.com/office/drawing/2014/chart" uri="{C3380CC4-5D6E-409C-BE32-E72D297353CC}">
              <c16:uniqueId val="{00000000-4B9E-408E-8A16-26826003E098}"/>
            </c:ext>
          </c:extLst>
        </c:ser>
        <c:dLbls>
          <c:showLegendKey val="0"/>
          <c:showVal val="0"/>
          <c:showCatName val="0"/>
          <c:showSerName val="0"/>
          <c:showPercent val="0"/>
          <c:showBubbleSize val="0"/>
        </c:dLbls>
        <c:smooth val="0"/>
        <c:axId val="446559392"/>
        <c:axId val="446512352"/>
      </c:lineChart>
      <c:catAx>
        <c:axId val="446559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446512352"/>
        <c:crosses val="autoZero"/>
        <c:auto val="1"/>
        <c:lblAlgn val="ctr"/>
        <c:lblOffset val="100"/>
        <c:noMultiLvlLbl val="0"/>
      </c:catAx>
      <c:valAx>
        <c:axId val="446512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salary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44655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[hrDataset.xlsx]Salary&amp; Compensations!PivotTable21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800" b="0">
                <a:latin typeface="Bodoni MT Black" panose="02070A03080606020203" pitchFamily="18" charset="0"/>
              </a:rPr>
              <a:t>Average Salary By State</a:t>
            </a:r>
          </a:p>
        </c:rich>
      </c:tx>
      <c:layout>
        <c:manualLayout>
          <c:xMode val="edge"/>
          <c:yMode val="edge"/>
          <c:x val="0.47969564708268531"/>
          <c:y val="0.1442172546944867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28013747149231"/>
          <c:y val="0.32908735526575184"/>
          <c:w val="0.73578937007874012"/>
          <c:h val="0.53774387576552929"/>
        </c:manualLayout>
      </c:layout>
      <c:barChart>
        <c:barDir val="col"/>
        <c:grouping val="clustered"/>
        <c:varyColors val="0"/>
        <c:ser>
          <c:idx val="0"/>
          <c:order val="0"/>
          <c:tx>
            <c:strRef>
              <c:f>'Salary&amp; Compensations'!$I$64</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strRef>
              <c:f>'Salary&amp; Compensations'!$H$65:$H$93</c:f>
              <c:strCache>
                <c:ptCount val="28"/>
                <c:pt idx="0">
                  <c:v>AL</c:v>
                </c:pt>
                <c:pt idx="1">
                  <c:v>AZ</c:v>
                </c:pt>
                <c:pt idx="2">
                  <c:v>CA</c:v>
                </c:pt>
                <c:pt idx="3">
                  <c:v>CO</c:v>
                </c:pt>
                <c:pt idx="4">
                  <c:v>CT</c:v>
                </c:pt>
                <c:pt idx="5">
                  <c:v>FL</c:v>
                </c:pt>
                <c:pt idx="6">
                  <c:v>GA</c:v>
                </c:pt>
                <c:pt idx="7">
                  <c:v>ID</c:v>
                </c:pt>
                <c:pt idx="8">
                  <c:v>IN</c:v>
                </c:pt>
                <c:pt idx="9">
                  <c:v>KY</c:v>
                </c:pt>
                <c:pt idx="10">
                  <c:v>MA</c:v>
                </c:pt>
                <c:pt idx="11">
                  <c:v>ME</c:v>
                </c:pt>
                <c:pt idx="12">
                  <c:v>MT</c:v>
                </c:pt>
                <c:pt idx="13">
                  <c:v>NC</c:v>
                </c:pt>
                <c:pt idx="14">
                  <c:v>ND</c:v>
                </c:pt>
                <c:pt idx="15">
                  <c:v>NH</c:v>
                </c:pt>
                <c:pt idx="16">
                  <c:v>NV</c:v>
                </c:pt>
                <c:pt idx="17">
                  <c:v>NY</c:v>
                </c:pt>
                <c:pt idx="18">
                  <c:v>OH</c:v>
                </c:pt>
                <c:pt idx="19">
                  <c:v>OR</c:v>
                </c:pt>
                <c:pt idx="20">
                  <c:v>PA</c:v>
                </c:pt>
                <c:pt idx="21">
                  <c:v>RI</c:v>
                </c:pt>
                <c:pt idx="22">
                  <c:v>TN</c:v>
                </c:pt>
                <c:pt idx="23">
                  <c:v>TX</c:v>
                </c:pt>
                <c:pt idx="24">
                  <c:v>UT</c:v>
                </c:pt>
                <c:pt idx="25">
                  <c:v>VA</c:v>
                </c:pt>
                <c:pt idx="26">
                  <c:v>VT</c:v>
                </c:pt>
                <c:pt idx="27">
                  <c:v>WA</c:v>
                </c:pt>
              </c:strCache>
            </c:strRef>
          </c:cat>
          <c:val>
            <c:numRef>
              <c:f>'Salary&amp; Compensations'!$I$65:$I$93</c:f>
              <c:numCache>
                <c:formatCode>General</c:formatCode>
                <c:ptCount val="28"/>
                <c:pt idx="0">
                  <c:v>61568</c:v>
                </c:pt>
                <c:pt idx="1">
                  <c:v>57859</c:v>
                </c:pt>
                <c:pt idx="2">
                  <c:v>74241</c:v>
                </c:pt>
                <c:pt idx="3">
                  <c:v>65310</c:v>
                </c:pt>
                <c:pt idx="4">
                  <c:v>77617.5</c:v>
                </c:pt>
                <c:pt idx="5">
                  <c:v>63051</c:v>
                </c:pt>
                <c:pt idx="6">
                  <c:v>63695</c:v>
                </c:pt>
                <c:pt idx="7">
                  <c:v>61809</c:v>
                </c:pt>
                <c:pt idx="8">
                  <c:v>61555</c:v>
                </c:pt>
                <c:pt idx="9">
                  <c:v>61844</c:v>
                </c:pt>
                <c:pt idx="10">
                  <c:v>68756.996376811599</c:v>
                </c:pt>
                <c:pt idx="11">
                  <c:v>55875</c:v>
                </c:pt>
                <c:pt idx="12">
                  <c:v>60120</c:v>
                </c:pt>
                <c:pt idx="13">
                  <c:v>68829</c:v>
                </c:pt>
                <c:pt idx="14">
                  <c:v>64397</c:v>
                </c:pt>
                <c:pt idx="15">
                  <c:v>70545</c:v>
                </c:pt>
                <c:pt idx="16">
                  <c:v>58273</c:v>
                </c:pt>
                <c:pt idx="17">
                  <c:v>71339</c:v>
                </c:pt>
                <c:pt idx="18">
                  <c:v>59370</c:v>
                </c:pt>
                <c:pt idx="19">
                  <c:v>58370</c:v>
                </c:pt>
                <c:pt idx="20">
                  <c:v>68999</c:v>
                </c:pt>
                <c:pt idx="21">
                  <c:v>180000</c:v>
                </c:pt>
                <c:pt idx="22">
                  <c:v>71707</c:v>
                </c:pt>
                <c:pt idx="23">
                  <c:v>74142.333333333328</c:v>
                </c:pt>
                <c:pt idx="24">
                  <c:v>70468</c:v>
                </c:pt>
                <c:pt idx="25">
                  <c:v>74326</c:v>
                </c:pt>
                <c:pt idx="26">
                  <c:v>68794.5</c:v>
                </c:pt>
                <c:pt idx="27">
                  <c:v>59231</c:v>
                </c:pt>
              </c:numCache>
            </c:numRef>
          </c:val>
          <c:extLst>
            <c:ext xmlns:c16="http://schemas.microsoft.com/office/drawing/2014/chart" uri="{C3380CC4-5D6E-409C-BE32-E72D297353CC}">
              <c16:uniqueId val="{00000000-4CEB-46D7-9445-B7D5A34E9FAC}"/>
            </c:ext>
          </c:extLst>
        </c:ser>
        <c:dLbls>
          <c:showLegendKey val="0"/>
          <c:showVal val="0"/>
          <c:showCatName val="0"/>
          <c:showSerName val="0"/>
          <c:showPercent val="0"/>
          <c:showBubbleSize val="0"/>
        </c:dLbls>
        <c:gapWidth val="100"/>
        <c:overlap val="-24"/>
        <c:axId val="443589536"/>
        <c:axId val="443590016"/>
      </c:barChart>
      <c:catAx>
        <c:axId val="4435895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443590016"/>
        <c:crosses val="autoZero"/>
        <c:auto val="1"/>
        <c:lblAlgn val="ctr"/>
        <c:lblOffset val="100"/>
        <c:noMultiLvlLbl val="0"/>
      </c:catAx>
      <c:valAx>
        <c:axId val="44359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44358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[hrDataset.xlsx]Salary&amp; Compensations!PivotTable6</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3200"/>
              <a:t>Average Absence</a:t>
            </a:r>
          </a:p>
        </c:rich>
      </c:tx>
      <c:layout>
        <c:manualLayout>
          <c:xMode val="edge"/>
          <c:yMode val="edge"/>
          <c:x val="0.2190979411316844"/>
          <c:y val="7.5684860888120052E-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5.4391555178583606E-3"/>
          <c:y val="0.21972188277105995"/>
          <c:w val="0.56113482188277364"/>
          <c:h val="0.78974861073696723"/>
        </c:manualLayout>
      </c:layout>
      <c:pieChart>
        <c:varyColors val="1"/>
        <c:ser>
          <c:idx val="0"/>
          <c:order val="0"/>
          <c:tx>
            <c:strRef>
              <c:f>'Salary&amp; Compensations'!$B$102</c:f>
              <c:strCache>
                <c:ptCount val="1"/>
                <c:pt idx="0">
                  <c:v>Total</c:v>
                </c:pt>
              </c:strCache>
            </c:strRef>
          </c:tx>
          <c:explosion val="14"/>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C1A-4762-8426-88B1F312FBD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C1A-4762-8426-88B1F312FBD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C1A-4762-8426-88B1F312FBD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C1A-4762-8426-88B1F312FBD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C1A-4762-8426-88B1F312FBDC}"/>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C1A-4762-8426-88B1F312FBD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'Salary&amp; Compensations'!$A$103:$A$109</c:f>
              <c:strCache>
                <c:ptCount val="6"/>
                <c:pt idx="0">
                  <c:v>Admin Offices</c:v>
                </c:pt>
                <c:pt idx="1">
                  <c:v>Executive Office</c:v>
                </c:pt>
                <c:pt idx="2">
                  <c:v>IT/IS</c:v>
                </c:pt>
                <c:pt idx="3">
                  <c:v>Production       </c:v>
                </c:pt>
                <c:pt idx="4">
                  <c:v>Sales</c:v>
                </c:pt>
                <c:pt idx="5">
                  <c:v>Software Engineering</c:v>
                </c:pt>
              </c:strCache>
            </c:strRef>
          </c:cat>
          <c:val>
            <c:numRef>
              <c:f>'Salary&amp; Compensations'!$B$103:$B$109</c:f>
              <c:numCache>
                <c:formatCode>General</c:formatCode>
                <c:ptCount val="6"/>
                <c:pt idx="0">
                  <c:v>8.6666666666666661</c:v>
                </c:pt>
                <c:pt idx="1">
                  <c:v>10</c:v>
                </c:pt>
                <c:pt idx="2">
                  <c:v>10.44</c:v>
                </c:pt>
                <c:pt idx="3">
                  <c:v>10.14354066985646</c:v>
                </c:pt>
                <c:pt idx="4">
                  <c:v>11.548387096774194</c:v>
                </c:pt>
                <c:pt idx="5">
                  <c:v>8.7272727272727266</c:v>
                </c:pt>
              </c:numCache>
            </c:numRef>
          </c:val>
          <c:extLst>
            <c:ext xmlns:c16="http://schemas.microsoft.com/office/drawing/2014/chart" uri="{C3380CC4-5D6E-409C-BE32-E72D297353CC}">
              <c16:uniqueId val="{0000000C-CC1A-4762-8426-88B1F312FBD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9680173468689921"/>
          <c:y val="0.19675193804738467"/>
          <c:w val="0.30319831520917045"/>
          <c:h val="0.5603633141064197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5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[hrDataset.xlsx]Salary&amp; Compensations!PivotTable7</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2800"/>
              <a:t>Average No Of Absence By Age Group </a:t>
            </a:r>
          </a:p>
        </c:rich>
      </c:tx>
      <c:layout>
        <c:manualLayout>
          <c:xMode val="edge"/>
          <c:yMode val="edge"/>
          <c:x val="0.26687860483534775"/>
          <c:y val="0.1200345781164309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2065976044511315"/>
          <c:y val="0.29120000000000001"/>
          <c:w val="0.42340050961700626"/>
          <c:h val="0.66879999999999995"/>
        </c:manualLayout>
      </c:layout>
      <c:pieChart>
        <c:varyColors val="1"/>
        <c:ser>
          <c:idx val="0"/>
          <c:order val="0"/>
          <c:tx>
            <c:strRef>
              <c:f>'Salary&amp; Compensations'!$J$102</c:f>
              <c:strCache>
                <c:ptCount val="1"/>
                <c:pt idx="0">
                  <c:v>Total</c:v>
                </c:pt>
              </c:strCache>
            </c:strRef>
          </c:tx>
          <c:explosion val="14"/>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8EB-49CF-81CA-EDC6B3382F1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8EB-49CF-81CA-EDC6B3382F1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8EB-49CF-81CA-EDC6B3382F1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8EB-49CF-81CA-EDC6B3382F1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8EB-49CF-81CA-EDC6B3382F1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'Salary&amp; Compensations'!$I$103:$I$108</c:f>
              <c:strCache>
                <c:ptCount val="5"/>
                <c:pt idx="0">
                  <c:v>21-30</c:v>
                </c:pt>
                <c:pt idx="1">
                  <c:v>31-40</c:v>
                </c:pt>
                <c:pt idx="2">
                  <c:v>41-50</c:v>
                </c:pt>
                <c:pt idx="3">
                  <c:v>51-60</c:v>
                </c:pt>
                <c:pt idx="4">
                  <c:v>60+</c:v>
                </c:pt>
              </c:strCache>
            </c:strRef>
          </c:cat>
          <c:val>
            <c:numRef>
              <c:f>'Salary&amp; Compensations'!$J$103:$J$108</c:f>
              <c:numCache>
                <c:formatCode>General</c:formatCode>
                <c:ptCount val="5"/>
                <c:pt idx="0">
                  <c:v>9.1818181818181817</c:v>
                </c:pt>
                <c:pt idx="1">
                  <c:v>10.516339869281046</c:v>
                </c:pt>
                <c:pt idx="2">
                  <c:v>10.163265306122449</c:v>
                </c:pt>
                <c:pt idx="3">
                  <c:v>10.166666666666666</c:v>
                </c:pt>
                <c:pt idx="4">
                  <c:v>8.615384615384615</c:v>
                </c:pt>
              </c:numCache>
            </c:numRef>
          </c:val>
          <c:extLst>
            <c:ext xmlns:c16="http://schemas.microsoft.com/office/drawing/2014/chart" uri="{C3380CC4-5D6E-409C-BE32-E72D297353CC}">
              <c16:uniqueId val="{0000000A-B8EB-49CF-81CA-EDC6B3382F1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5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[hrDataset.xlsx]Department &amp; Position!PivotTable1</c:name>
    <c:fmtId val="4"/>
  </c:pivotSource>
  <c:chart>
    <c:title>
      <c:tx>
        <c:rich>
          <a:bodyPr rot="0" spcFirstLastPara="1" vertOverflow="ellipsis" vert="horz" wrap="square" anchor="ctr" anchorCtr="1"/>
          <a:lstStyle/>
          <a:p>
            <a:pPr>
              <a:defRPr sz="4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4200" baseline="0"/>
              <a:t>Employees in  depatement</a:t>
            </a:r>
          </a:p>
        </c:rich>
      </c:tx>
      <c:layout>
        <c:manualLayout>
          <c:xMode val="edge"/>
          <c:yMode val="edge"/>
          <c:x val="2.9306128797195179E-4"/>
          <c:y val="1.6358934197367333E-2"/>
        </c:manualLayout>
      </c:layout>
      <c:overlay val="0"/>
      <c:spPr>
        <a:noFill/>
        <a:ln>
          <a:noFill/>
        </a:ln>
        <a:effectLst/>
      </c:spPr>
      <c:txPr>
        <a:bodyPr rot="0" spcFirstLastPara="1" vertOverflow="ellipsis" vert="horz" wrap="square" anchor="ctr" anchorCtr="1"/>
        <a:lstStyle/>
        <a:p>
          <a:pPr>
            <a:defRPr sz="4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51400650660904"/>
          <c:y val="0.230412602226297"/>
          <c:w val="0.75328448527267422"/>
          <c:h val="0.36039094334998006"/>
        </c:manualLayout>
      </c:layout>
      <c:barChart>
        <c:barDir val="col"/>
        <c:grouping val="clustered"/>
        <c:varyColors val="0"/>
        <c:ser>
          <c:idx val="0"/>
          <c:order val="0"/>
          <c:tx>
            <c:strRef>
              <c:f>'Department &amp; Position'!$B$24</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'Department &amp; Position'!$A$25:$A$31</c:f>
              <c:strCache>
                <c:ptCount val="6"/>
                <c:pt idx="0">
                  <c:v>Admin Offices</c:v>
                </c:pt>
                <c:pt idx="1">
                  <c:v>Executive Office</c:v>
                </c:pt>
                <c:pt idx="2">
                  <c:v>IT/IS</c:v>
                </c:pt>
                <c:pt idx="3">
                  <c:v>Production       </c:v>
                </c:pt>
                <c:pt idx="4">
                  <c:v>Sales</c:v>
                </c:pt>
                <c:pt idx="5">
                  <c:v>Software Engineering</c:v>
                </c:pt>
              </c:strCache>
            </c:strRef>
          </c:cat>
          <c:val>
            <c:numRef>
              <c:f>'Department &amp; Position'!$B$25:$B$31</c:f>
              <c:numCache>
                <c:formatCode>General</c:formatCode>
                <c:ptCount val="6"/>
                <c:pt idx="0">
                  <c:v>9</c:v>
                </c:pt>
                <c:pt idx="1">
                  <c:v>1</c:v>
                </c:pt>
                <c:pt idx="2">
                  <c:v>50</c:v>
                </c:pt>
                <c:pt idx="3">
                  <c:v>209</c:v>
                </c:pt>
                <c:pt idx="4">
                  <c:v>31</c:v>
                </c:pt>
                <c:pt idx="5">
                  <c:v>11</c:v>
                </c:pt>
              </c:numCache>
            </c:numRef>
          </c:val>
          <c:extLst>
            <c:ext xmlns:c16="http://schemas.microsoft.com/office/drawing/2014/chart" uri="{C3380CC4-5D6E-409C-BE32-E72D297353CC}">
              <c16:uniqueId val="{00000000-64AD-415E-8E5C-FBF60A5BC00E}"/>
            </c:ext>
          </c:extLst>
        </c:ser>
        <c:dLbls>
          <c:dLblPos val="outEnd"/>
          <c:showLegendKey val="0"/>
          <c:showVal val="1"/>
          <c:showCatName val="0"/>
          <c:showSerName val="0"/>
          <c:showPercent val="0"/>
          <c:showBubbleSize val="0"/>
        </c:dLbls>
        <c:gapWidth val="100"/>
        <c:overlap val="-24"/>
        <c:axId val="1871734079"/>
        <c:axId val="1871734559"/>
      </c:barChart>
      <c:catAx>
        <c:axId val="18717340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871734559"/>
        <c:crosses val="autoZero"/>
        <c:auto val="1"/>
        <c:lblAlgn val="ctr"/>
        <c:lblOffset val="100"/>
        <c:noMultiLvlLbl val="0"/>
      </c:catAx>
      <c:valAx>
        <c:axId val="18717345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187173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[hrDataset.xlsx]Department &amp; Position!PivotTable11</c:name>
    <c:fmtId val="12"/>
  </c:pivotSource>
  <c:chart>
    <c:title>
      <c:tx>
        <c:rich>
          <a:bodyPr rot="0" spcFirstLastPara="1" vertOverflow="ellipsis" vert="horz" wrap="square" anchor="ctr" anchorCtr="1"/>
          <a:lstStyle/>
          <a:p>
            <a:pPr>
              <a:defRPr lang="en-US" sz="4200" b="0" i="0" u="none" strike="noStrike" kern="1200" baseline="0">
                <a:solidFill>
                  <a:schemeClr val="tx1"/>
                </a:solidFill>
                <a:latin typeface="+mn-lt"/>
                <a:ea typeface="+mn-ea"/>
                <a:cs typeface="+mn-cs"/>
              </a:defRPr>
            </a:pPr>
            <a:r>
              <a:rPr lang="en-US" sz="4200" baseline="0"/>
              <a:t>Employees count</a:t>
            </a:r>
          </a:p>
        </c:rich>
      </c:tx>
      <c:layout>
        <c:manualLayout>
          <c:xMode val="edge"/>
          <c:yMode val="edge"/>
          <c:x val="0.22534477857157231"/>
          <c:y val="0.10036131421886876"/>
        </c:manualLayout>
      </c:layout>
      <c:overlay val="0"/>
      <c:spPr>
        <a:noFill/>
        <a:ln>
          <a:noFill/>
        </a:ln>
        <a:effectLst/>
      </c:spPr>
      <c:txPr>
        <a:bodyPr rot="0" spcFirstLastPara="1" vertOverflow="ellipsis" vert="horz" wrap="square" anchor="ctr" anchorCtr="1"/>
        <a:lstStyle/>
        <a:p>
          <a:pPr>
            <a:defRPr lang="en-US" sz="4200" b="0"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24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24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24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08431451386957"/>
          <c:y val="0.16979613323416978"/>
          <c:w val="0.7525803427286063"/>
          <c:h val="0.44254366926611682"/>
        </c:manualLayout>
      </c:layout>
      <c:barChart>
        <c:barDir val="col"/>
        <c:grouping val="clustered"/>
        <c:varyColors val="0"/>
        <c:ser>
          <c:idx val="0"/>
          <c:order val="0"/>
          <c:tx>
            <c:strRef>
              <c:f>'Department &amp; Position'!$H$24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'Department &amp; Position'!$G$25:$G$30</c:f>
              <c:multiLvlStrCache>
                <c:ptCount val="4"/>
                <c:lvl>
                  <c:pt idx="0">
                    <c:v>Accountant I</c:v>
                  </c:pt>
                  <c:pt idx="1">
                    <c:v>Director of Sales</c:v>
                  </c:pt>
                  <c:pt idx="2">
                    <c:v>IT Director</c:v>
                  </c:pt>
                  <c:pt idx="3">
                    <c:v>Sales Manager</c:v>
                  </c:pt>
                </c:lvl>
                <c:lvl>
                  <c:pt idx="0">
                    <c:v>lowest count</c:v>
                  </c:pt>
                </c:lvl>
              </c:multiLvlStrCache>
            </c:multiLvlStrRef>
          </c:cat>
          <c:val>
            <c:numRef>
              <c:f>'Department &amp; Position'!$H$25:$H$30</c:f>
              <c:numCache>
                <c:formatCode>General</c:formatCode>
                <c:ptCount val="4"/>
                <c:pt idx="0">
                  <c:v>3</c:v>
                </c:pt>
                <c:pt idx="1">
                  <c:v>1</c:v>
                </c:pt>
                <c:pt idx="2">
                  <c:v>1</c:v>
                </c:pt>
                <c:pt idx="3">
                  <c:v>3</c:v>
                </c:pt>
              </c:numCache>
            </c:numRef>
          </c:val>
          <c:extLst>
            <c:ext xmlns:c16="http://schemas.microsoft.com/office/drawing/2014/chart" uri="{C3380CC4-5D6E-409C-BE32-E72D297353CC}">
              <c16:uniqueId val="{00000009-263D-4F2E-84F4-A4A03CE8F0E7}"/>
            </c:ext>
          </c:extLst>
        </c:ser>
        <c:dLbls>
          <c:dLblPos val="inEnd"/>
          <c:showLegendKey val="0"/>
          <c:showVal val="1"/>
          <c:showCatName val="0"/>
          <c:showSerName val="0"/>
          <c:showPercent val="0"/>
          <c:showBubbleSize val="0"/>
        </c:dLbls>
        <c:gapWidth val="65"/>
        <c:axId val="1803681167"/>
        <c:axId val="1803689807"/>
      </c:barChart>
      <c:catAx>
        <c:axId val="18036811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1800" b="0" i="0" u="none" strike="noStrike" kern="1200" cap="all" baseline="0">
                <a:solidFill>
                  <a:schemeClr val="tx1"/>
                </a:solidFill>
                <a:latin typeface="+mn-lt"/>
                <a:ea typeface="+mn-ea"/>
                <a:cs typeface="+mn-cs"/>
              </a:defRPr>
            </a:pPr>
            <a:endParaRPr lang="en-US"/>
          </a:p>
        </c:txPr>
        <c:crossAx val="1803689807"/>
        <c:crosses val="autoZero"/>
        <c:auto val="1"/>
        <c:lblAlgn val="ctr"/>
        <c:lblOffset val="100"/>
        <c:noMultiLvlLbl val="0"/>
      </c:catAx>
      <c:valAx>
        <c:axId val="1803689807"/>
        <c:scaling>
          <c:orientation val="minMax"/>
        </c:scaling>
        <c:delete val="1"/>
        <c:axPos val="l"/>
        <c:numFmt formatCode="General" sourceLinked="1"/>
        <c:majorTickMark val="none"/>
        <c:minorTickMark val="none"/>
        <c:tickLblPos val="nextTo"/>
        <c:crossAx val="180368116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[hrDataset.xlsx]Department &amp; Position!PivotTable12</c:name>
    <c:fmtId val="4"/>
  </c:pivotSource>
  <c:chart>
    <c:title>
      <c:tx>
        <c:rich>
          <a:bodyPr rot="0" spcFirstLastPara="1" vertOverflow="ellipsis" vert="horz" wrap="square" anchor="ctr" anchorCtr="1"/>
          <a:lstStyle/>
          <a:p>
            <a:pPr>
              <a:defRPr sz="4080" b="1" i="0" u="none" strike="noStrike" kern="1200" baseline="0">
                <a:solidFill>
                  <a:schemeClr val="dk1">
                    <a:lumMod val="75000"/>
                    <a:lumOff val="25000"/>
                  </a:schemeClr>
                </a:solidFill>
                <a:latin typeface="+mn-lt"/>
                <a:ea typeface="+mn-ea"/>
                <a:cs typeface="+mn-cs"/>
              </a:defRPr>
            </a:pPr>
            <a:r>
              <a:rPr lang="en-US"/>
              <a:t>Employee</a:t>
            </a:r>
            <a:r>
              <a:rPr lang="en-US" baseline="0"/>
              <a:t> COUNT</a:t>
            </a:r>
            <a:endParaRPr lang="en-US"/>
          </a:p>
        </c:rich>
      </c:tx>
      <c:layout>
        <c:manualLayout>
          <c:xMode val="edge"/>
          <c:yMode val="edge"/>
          <c:x val="0.41644433550695747"/>
          <c:y val="9.4863068661284314E-2"/>
        </c:manualLayout>
      </c:layout>
      <c:overlay val="0"/>
      <c:spPr>
        <a:noFill/>
        <a:ln>
          <a:noFill/>
        </a:ln>
        <a:effectLst/>
      </c:spPr>
      <c:txPr>
        <a:bodyPr rot="0" spcFirstLastPara="1" vertOverflow="ellipsis" vert="horz" wrap="square" anchor="ctr" anchorCtr="1"/>
        <a:lstStyle/>
        <a:p>
          <a:pPr>
            <a:defRPr sz="408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15486725663716813"/>
              <c:y val="-5.9737156511350066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28392330383480835"/>
              <c:y val="-7.765830346475508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3.6873156342182552E-3"/>
              <c:y val="-7.1684587813620068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0.12536873156342182"/>
              <c:y val="0.17921146953405018"/>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3.6873156342182552E-3"/>
              <c:y val="-7.1684587813620068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0.28392330383480835"/>
              <c:y val="-7.765830346475508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0"/>
      </c:pivotFmt>
      <c:pivotFmt>
        <c:idx val="11"/>
      </c:pivotFmt>
      <c:pivotFmt>
        <c:idx val="12"/>
        <c:dLbl>
          <c:idx val="0"/>
          <c:layout>
            <c:manualLayout>
              <c:x val="-0.12536873156342182"/>
              <c:y val="0.17921146953405018"/>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3"/>
        <c:dLbl>
          <c:idx val="0"/>
          <c:layout>
            <c:manualLayout>
              <c:x val="-0.15486725663716813"/>
              <c:y val="-5.9737156511350066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34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5348818707546444"/>
          <c:y val="0.31515675298979029"/>
          <c:w val="0.49302390018545139"/>
          <c:h val="0.64959252969910164"/>
        </c:manualLayout>
      </c:layout>
      <c:pieChart>
        <c:varyColors val="1"/>
        <c:ser>
          <c:idx val="0"/>
          <c:order val="0"/>
          <c:tx>
            <c:strRef>
              <c:f>'Department &amp; Position'!$B$44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6F2-46E4-AD4F-8DEBCE9A0EE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6F2-46E4-AD4F-8DEBCE9A0EE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6F2-46E4-AD4F-8DEBCE9A0EE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6F2-46E4-AD4F-8DEBCE9A0EE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6F2-46E4-AD4F-8DEBCE9A0EE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D6F2-46E4-AD4F-8DEBCE9A0EE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34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'Department &amp; Position'!$A$45:$A$51</c:f>
              <c:strCache>
                <c:ptCount val="6"/>
                <c:pt idx="0">
                  <c:v>Admin Offices</c:v>
                </c:pt>
                <c:pt idx="1">
                  <c:v>Executive Office</c:v>
                </c:pt>
                <c:pt idx="2">
                  <c:v>IT/IS</c:v>
                </c:pt>
                <c:pt idx="3">
                  <c:v>Production       </c:v>
                </c:pt>
                <c:pt idx="4">
                  <c:v>Sales</c:v>
                </c:pt>
                <c:pt idx="5">
                  <c:v>Software Engineering</c:v>
                </c:pt>
              </c:strCache>
            </c:strRef>
          </c:cat>
          <c:val>
            <c:numRef>
              <c:f>'Department &amp; Position'!$B$45:$B$51</c:f>
              <c:numCache>
                <c:formatCode>General</c:formatCode>
                <c:ptCount val="6"/>
                <c:pt idx="0">
                  <c:v>9</c:v>
                </c:pt>
                <c:pt idx="1">
                  <c:v>1</c:v>
                </c:pt>
                <c:pt idx="2">
                  <c:v>50</c:v>
                </c:pt>
                <c:pt idx="3">
                  <c:v>209</c:v>
                </c:pt>
                <c:pt idx="4">
                  <c:v>31</c:v>
                </c:pt>
                <c:pt idx="5">
                  <c:v>11</c:v>
                </c:pt>
              </c:numCache>
            </c:numRef>
          </c:val>
          <c:extLst>
            <c:ext xmlns:c16="http://schemas.microsoft.com/office/drawing/2014/chart" uri="{C3380CC4-5D6E-409C-BE32-E72D297353CC}">
              <c16:uniqueId val="{0000000C-D6F2-46E4-AD4F-8DEBCE9A0EE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1.396641313455608E-2"/>
          <c:y val="5.5049103683700834E-2"/>
          <c:w val="0.23072949412412447"/>
          <c:h val="0.9429783340755181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8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34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[hrDataset.xlsx]Department &amp; Position!PivotTable2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3200"/>
              <a:t>Recruitement data</a:t>
            </a:r>
          </a:p>
        </c:rich>
      </c:tx>
      <c:layout>
        <c:manualLayout>
          <c:xMode val="edge"/>
          <c:yMode val="edge"/>
          <c:x val="0.40245575204294981"/>
          <c:y val="7.755592698051470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08431451386957"/>
          <c:y val="0.16979613323416978"/>
          <c:w val="0.7525803427286063"/>
          <c:h val="0.44254366926611682"/>
        </c:manualLayout>
      </c:layout>
      <c:barChart>
        <c:barDir val="col"/>
        <c:grouping val="clustered"/>
        <c:varyColors val="0"/>
        <c:ser>
          <c:idx val="0"/>
          <c:order val="0"/>
          <c:tx>
            <c:strRef>
              <c:f>'Department &amp; Position'!$H$44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'Department &amp; Position'!$G$45:$G$54</c:f>
              <c:strCache>
                <c:ptCount val="9"/>
                <c:pt idx="0">
                  <c:v>CareerBuilder</c:v>
                </c:pt>
                <c:pt idx="1">
                  <c:v>Diversity Job Fair</c:v>
                </c:pt>
                <c:pt idx="2">
                  <c:v>Employee Referral</c:v>
                </c:pt>
                <c:pt idx="3">
                  <c:v>Google Search</c:v>
                </c:pt>
                <c:pt idx="4">
                  <c:v>Indeed</c:v>
                </c:pt>
                <c:pt idx="5">
                  <c:v>LinkedIn</c:v>
                </c:pt>
                <c:pt idx="6">
                  <c:v>On-line Web application</c:v>
                </c:pt>
                <c:pt idx="7">
                  <c:v>Other</c:v>
                </c:pt>
                <c:pt idx="8">
                  <c:v>Website</c:v>
                </c:pt>
              </c:strCache>
            </c:strRef>
          </c:cat>
          <c:val>
            <c:numRef>
              <c:f>'Department &amp; Position'!$H$45:$H$54</c:f>
              <c:numCache>
                <c:formatCode>General</c:formatCode>
                <c:ptCount val="9"/>
                <c:pt idx="0">
                  <c:v>23</c:v>
                </c:pt>
                <c:pt idx="1">
                  <c:v>29</c:v>
                </c:pt>
                <c:pt idx="2">
                  <c:v>31</c:v>
                </c:pt>
                <c:pt idx="3">
                  <c:v>49</c:v>
                </c:pt>
                <c:pt idx="4">
                  <c:v>87</c:v>
                </c:pt>
                <c:pt idx="5">
                  <c:v>76</c:v>
                </c:pt>
                <c:pt idx="6">
                  <c:v>1</c:v>
                </c:pt>
                <c:pt idx="7">
                  <c:v>2</c:v>
                </c:pt>
                <c:pt idx="8">
                  <c:v>13</c:v>
                </c:pt>
              </c:numCache>
            </c:numRef>
          </c:val>
          <c:extLst>
            <c:ext xmlns:c16="http://schemas.microsoft.com/office/drawing/2014/chart" uri="{C3380CC4-5D6E-409C-BE32-E72D297353CC}">
              <c16:uniqueId val="{00000000-A1EA-4A2F-A86C-EFDA09633401}"/>
            </c:ext>
          </c:extLst>
        </c:ser>
        <c:dLbls>
          <c:dLblPos val="inEnd"/>
          <c:showLegendKey val="0"/>
          <c:showVal val="1"/>
          <c:showCatName val="0"/>
          <c:showSerName val="0"/>
          <c:showPercent val="0"/>
          <c:showBubbleSize val="0"/>
        </c:dLbls>
        <c:gapWidth val="65"/>
        <c:axId val="1803681167"/>
        <c:axId val="1803689807"/>
      </c:barChart>
      <c:catAx>
        <c:axId val="18036811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800" b="0" i="0" u="none" strike="noStrike" kern="1200" cap="all" baseline="0">
                <a:solidFill>
                  <a:schemeClr val="dk1">
                    <a:lumMod val="75000"/>
                    <a:lumOff val="25000"/>
                  </a:schemeClr>
                </a:solidFill>
                <a:latin typeface="+mn-lt"/>
                <a:ea typeface="+mn-ea"/>
                <a:cs typeface="+mn-cs"/>
              </a:defRPr>
            </a:pPr>
            <a:endParaRPr lang="en-US"/>
          </a:p>
        </c:txPr>
        <c:crossAx val="1803689807"/>
        <c:crosses val="autoZero"/>
        <c:auto val="1"/>
        <c:lblAlgn val="ctr"/>
        <c:lblOffset val="100"/>
        <c:noMultiLvlLbl val="0"/>
      </c:catAx>
      <c:valAx>
        <c:axId val="1803689807"/>
        <c:scaling>
          <c:orientation val="minMax"/>
        </c:scaling>
        <c:delete val="1"/>
        <c:axPos val="l"/>
        <c:numFmt formatCode="General" sourceLinked="1"/>
        <c:majorTickMark val="none"/>
        <c:minorTickMark val="none"/>
        <c:tickLblPos val="nextTo"/>
        <c:crossAx val="180368116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8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[hrDataset.xlsx]Department &amp; Position!PivotTable4</c:name>
    <c:fmtId val="4"/>
  </c:pivotSource>
  <c:chart>
    <c:title>
      <c:tx>
        <c:rich>
          <a:bodyPr rot="0" spcFirstLastPara="1" vertOverflow="ellipsis" vert="horz" wrap="square" anchor="ctr" anchorCtr="1"/>
          <a:lstStyle/>
          <a:p>
            <a:pPr>
              <a:defRPr sz="4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4200" baseline="0"/>
              <a:t>performance Score</a:t>
            </a:r>
          </a:p>
        </c:rich>
      </c:tx>
      <c:layout>
        <c:manualLayout>
          <c:xMode val="edge"/>
          <c:yMode val="edge"/>
          <c:x val="0.25709351704739153"/>
          <c:y val="3.1901932658036453E-2"/>
        </c:manualLayout>
      </c:layout>
      <c:overlay val="0"/>
      <c:spPr>
        <a:noFill/>
        <a:ln>
          <a:noFill/>
        </a:ln>
        <a:effectLst/>
      </c:spPr>
      <c:txPr>
        <a:bodyPr rot="0" spcFirstLastPara="1" vertOverflow="ellipsis" vert="horz" wrap="square" anchor="ctr" anchorCtr="1"/>
        <a:lstStyle/>
        <a:p>
          <a:pPr>
            <a:defRPr sz="4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4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52524515993987"/>
          <c:y val="0.16617407713147878"/>
          <c:w val="0.79935849900863609"/>
          <c:h val="0.70130768903676677"/>
        </c:manualLayout>
      </c:layout>
      <c:barChart>
        <c:barDir val="col"/>
        <c:grouping val="clustered"/>
        <c:varyColors val="0"/>
        <c:ser>
          <c:idx val="0"/>
          <c:order val="0"/>
          <c:tx>
            <c:strRef>
              <c:f>'Department &amp; Position'!$H$71</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34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'Department &amp; Position'!$G$72:$G$76</c:f>
              <c:strCache>
                <c:ptCount val="4"/>
                <c:pt idx="0">
                  <c:v>Exceeds</c:v>
                </c:pt>
                <c:pt idx="1">
                  <c:v>Fully Meets</c:v>
                </c:pt>
                <c:pt idx="2">
                  <c:v>Needs Improvement</c:v>
                </c:pt>
                <c:pt idx="3">
                  <c:v>PIP</c:v>
                </c:pt>
              </c:strCache>
            </c:strRef>
          </c:cat>
          <c:val>
            <c:numRef>
              <c:f>'Department &amp; Position'!$H$72:$H$76</c:f>
              <c:numCache>
                <c:formatCode>General</c:formatCode>
                <c:ptCount val="4"/>
                <c:pt idx="0">
                  <c:v>37</c:v>
                </c:pt>
                <c:pt idx="1">
                  <c:v>243</c:v>
                </c:pt>
                <c:pt idx="2">
                  <c:v>18</c:v>
                </c:pt>
                <c:pt idx="3">
                  <c:v>13</c:v>
                </c:pt>
              </c:numCache>
            </c:numRef>
          </c:val>
          <c:extLst>
            <c:ext xmlns:c16="http://schemas.microsoft.com/office/drawing/2014/chart" uri="{C3380CC4-5D6E-409C-BE32-E72D297353CC}">
              <c16:uniqueId val="{00000000-D143-4DFA-90F5-5E2CCDBA177B}"/>
            </c:ext>
          </c:extLst>
        </c:ser>
        <c:dLbls>
          <c:dLblPos val="outEnd"/>
          <c:showLegendKey val="0"/>
          <c:showVal val="1"/>
          <c:showCatName val="0"/>
          <c:showSerName val="0"/>
          <c:showPercent val="0"/>
          <c:showBubbleSize val="0"/>
        </c:dLbls>
        <c:gapWidth val="100"/>
        <c:overlap val="-24"/>
        <c:axId val="1979563599"/>
        <c:axId val="1979553999"/>
      </c:barChart>
      <c:catAx>
        <c:axId val="19795635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1979553999"/>
        <c:crosses val="autoZero"/>
        <c:auto val="1"/>
        <c:lblAlgn val="ctr"/>
        <c:lblOffset val="100"/>
        <c:noMultiLvlLbl val="0"/>
      </c:catAx>
      <c:valAx>
        <c:axId val="19795539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197956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[hrDataset.xlsx]Department &amp; Position!PivotTable5</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3200"/>
              <a:t>Average Engagement survey</a:t>
            </a:r>
          </a:p>
        </c:rich>
      </c:tx>
      <c:layout>
        <c:manualLayout>
          <c:xMode val="edge"/>
          <c:yMode val="edge"/>
          <c:x val="0.1224690054503105"/>
          <c:y val="7.230390484425988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08431451386957"/>
          <c:y val="0.16979613323416978"/>
          <c:w val="0.7525803427286063"/>
          <c:h val="0.44254366926611682"/>
        </c:manualLayout>
      </c:layout>
      <c:barChart>
        <c:barDir val="col"/>
        <c:grouping val="clustered"/>
        <c:varyColors val="0"/>
        <c:ser>
          <c:idx val="0"/>
          <c:order val="0"/>
          <c:tx>
            <c:strRef>
              <c:f>'Department &amp; Position'!$B$93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'Department &amp; Position'!$A$94:$A$100</c:f>
              <c:strCache>
                <c:ptCount val="6"/>
                <c:pt idx="0">
                  <c:v>Admin Offices</c:v>
                </c:pt>
                <c:pt idx="1">
                  <c:v>Executive Office</c:v>
                </c:pt>
                <c:pt idx="2">
                  <c:v>IT/IS</c:v>
                </c:pt>
                <c:pt idx="3">
                  <c:v>Production       </c:v>
                </c:pt>
                <c:pt idx="4">
                  <c:v>Sales</c:v>
                </c:pt>
                <c:pt idx="5">
                  <c:v>Software Engineering</c:v>
                </c:pt>
              </c:strCache>
            </c:strRef>
          </c:cat>
          <c:val>
            <c:numRef>
              <c:f>'Department &amp; Position'!$B$94:$B$100</c:f>
              <c:numCache>
                <c:formatCode>General</c:formatCode>
                <c:ptCount val="6"/>
                <c:pt idx="0">
                  <c:v>4.3933333333333335</c:v>
                </c:pt>
                <c:pt idx="1">
                  <c:v>4.83</c:v>
                </c:pt>
                <c:pt idx="2">
                  <c:v>4.1539999999999999</c:v>
                </c:pt>
                <c:pt idx="3">
                  <c:v>4.129569377990431</c:v>
                </c:pt>
                <c:pt idx="4">
                  <c:v>3.818709677419355</c:v>
                </c:pt>
                <c:pt idx="5">
                  <c:v>4.0618181818181824</c:v>
                </c:pt>
              </c:numCache>
            </c:numRef>
          </c:val>
          <c:extLst>
            <c:ext xmlns:c16="http://schemas.microsoft.com/office/drawing/2014/chart" uri="{C3380CC4-5D6E-409C-BE32-E72D297353CC}">
              <c16:uniqueId val="{0000000D-1F82-438C-BB22-9FBFEB388F06}"/>
            </c:ext>
          </c:extLst>
        </c:ser>
        <c:dLbls>
          <c:dLblPos val="inEnd"/>
          <c:showLegendKey val="0"/>
          <c:showVal val="1"/>
          <c:showCatName val="0"/>
          <c:showSerName val="0"/>
          <c:showPercent val="0"/>
          <c:showBubbleSize val="0"/>
        </c:dLbls>
        <c:gapWidth val="65"/>
        <c:axId val="1803681167"/>
        <c:axId val="1803689807"/>
      </c:barChart>
      <c:catAx>
        <c:axId val="18036811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800" b="0" i="0" u="none" strike="noStrike" kern="1200" cap="all" baseline="0">
                <a:solidFill>
                  <a:schemeClr val="dk1">
                    <a:lumMod val="75000"/>
                    <a:lumOff val="25000"/>
                  </a:schemeClr>
                </a:solidFill>
                <a:latin typeface="+mn-lt"/>
                <a:ea typeface="+mn-ea"/>
                <a:cs typeface="+mn-cs"/>
              </a:defRPr>
            </a:pPr>
            <a:endParaRPr lang="en-US"/>
          </a:p>
        </c:txPr>
        <c:crossAx val="1803689807"/>
        <c:crosses val="autoZero"/>
        <c:auto val="1"/>
        <c:lblAlgn val="ctr"/>
        <c:lblOffset val="100"/>
        <c:noMultiLvlLbl val="0"/>
      </c:catAx>
      <c:valAx>
        <c:axId val="1803689807"/>
        <c:scaling>
          <c:orientation val="minMax"/>
        </c:scaling>
        <c:delete val="1"/>
        <c:axPos val="l"/>
        <c:numFmt formatCode="General" sourceLinked="1"/>
        <c:majorTickMark val="none"/>
        <c:minorTickMark val="none"/>
        <c:tickLblPos val="nextTo"/>
        <c:crossAx val="180368116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8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[hrDataset.xlsx]Department &amp; Position!PivotTable6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3600"/>
              <a:t>Average</a:t>
            </a:r>
            <a:r>
              <a:rPr lang="en-US" sz="3600" baseline="0"/>
              <a:t> Satisfaction score</a:t>
            </a:r>
            <a:endParaRPr lang="en-US" sz="3600"/>
          </a:p>
        </c:rich>
      </c:tx>
      <c:layout>
        <c:manualLayout>
          <c:xMode val="edge"/>
          <c:yMode val="edge"/>
          <c:x val="0.11612301242394805"/>
          <c:y val="5.143179467654862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dLbl>
          <c:idx val="0"/>
          <c:layout>
            <c:manualLayout>
              <c:x val="8.8464624650700402E-2"/>
              <c:y val="-1.499285065326329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8"/>
        <c:spPr>
          <a:solidFill>
            <a:schemeClr val="accent1"/>
          </a:solidFill>
          <a:ln>
            <a:noFill/>
          </a:ln>
          <a:effectLst>
            <a:outerShdw blurRad="254000" sx="102000" sy="102000" algn="ctr" rotWithShape="0">
              <a:prstClr val="black">
                <a:alpha val="20000"/>
              </a:prstClr>
            </a:outerShdw>
          </a:effectLst>
          <a:sp3d/>
        </c:spPr>
        <c:dLbl>
          <c:idx val="0"/>
          <c:layout>
            <c:manualLayout>
              <c:x val="-0.12147381295320056"/>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9"/>
        <c:spPr>
          <a:solidFill>
            <a:schemeClr val="accent1"/>
          </a:solidFill>
          <a:ln>
            <a:noFill/>
          </a:ln>
          <a:effectLst>
            <a:outerShdw blurRad="254000" sx="102000" sy="102000" algn="ctr" rotWithShape="0">
              <a:prstClr val="black">
                <a:alpha val="20000"/>
              </a:prstClr>
            </a:outerShdw>
          </a:effectLst>
          <a:sp3d/>
        </c:spPr>
        <c:dLbl>
          <c:idx val="0"/>
          <c:layout>
            <c:manualLayout>
              <c:x val="-9.3746094779100481E-2"/>
              <c:y val="2.098999091456861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0"/>
        <c:spPr>
          <a:solidFill>
            <a:schemeClr val="accent1"/>
          </a:solidFill>
          <a:ln>
            <a:noFill/>
          </a:ln>
          <a:effectLst>
            <a:outerShdw blurRad="254000" sx="102000" sy="102000" algn="ctr" rotWithShape="0">
              <a:prstClr val="black">
                <a:alpha val="20000"/>
              </a:prstClr>
            </a:outerShdw>
          </a:effectLst>
          <a:sp3d/>
        </c:spPr>
        <c:dLbl>
          <c:idx val="0"/>
          <c:layout>
            <c:manualLayout>
              <c:x val="-0.13995895840260067"/>
              <c:y val="0.1139456649648010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5842533722851444"/>
          <c:y val="0.28917860752123253"/>
          <c:w val="0.3496174126805805"/>
          <c:h val="0.71082126600559636"/>
        </c:manualLayout>
      </c:layout>
      <c:pie3DChart>
        <c:varyColors val="1"/>
        <c:ser>
          <c:idx val="0"/>
          <c:order val="0"/>
          <c:tx>
            <c:strRef>
              <c:f>'Department &amp; Position'!$H$93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056-406D-AB61-C9C223724A7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056-406D-AB61-C9C223724A79}"/>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056-406D-AB61-C9C223724A79}"/>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056-406D-AB61-C9C223724A79}"/>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4056-406D-AB61-C9C223724A79}"/>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4056-406D-AB61-C9C223724A79}"/>
              </c:ext>
            </c:extLst>
          </c:dPt>
          <c:dLbls>
            <c:dLbl>
              <c:idx val="2"/>
              <c:layout>
                <c:manualLayout>
                  <c:x val="8.8464624650700402E-2"/>
                  <c:y val="-1.499285065326329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056-406D-AB61-C9C223724A79}"/>
                </c:ext>
              </c:extLst>
            </c:dLbl>
            <c:dLbl>
              <c:idx val="3"/>
              <c:layout>
                <c:manualLayout>
                  <c:x val="-0.12147381295320056"/>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056-406D-AB61-C9C223724A79}"/>
                </c:ext>
              </c:extLst>
            </c:dLbl>
            <c:dLbl>
              <c:idx val="4"/>
              <c:layout>
                <c:manualLayout>
                  <c:x val="-9.3746094779100481E-2"/>
                  <c:y val="2.098999091456861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4056-406D-AB61-C9C223724A79}"/>
                </c:ext>
              </c:extLst>
            </c:dLbl>
            <c:dLbl>
              <c:idx val="5"/>
              <c:layout>
                <c:manualLayout>
                  <c:x val="-0.13995895840260067"/>
                  <c:y val="0.1139456649648010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4056-406D-AB61-C9C223724A7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'Department &amp; Position'!$G$94:$G$100</c:f>
              <c:strCache>
                <c:ptCount val="6"/>
                <c:pt idx="0">
                  <c:v>Admin Offices</c:v>
                </c:pt>
                <c:pt idx="1">
                  <c:v>Executive Office</c:v>
                </c:pt>
                <c:pt idx="2">
                  <c:v>IT/IS</c:v>
                </c:pt>
                <c:pt idx="3">
                  <c:v>Production       </c:v>
                </c:pt>
                <c:pt idx="4">
                  <c:v>Sales</c:v>
                </c:pt>
                <c:pt idx="5">
                  <c:v>Software Engineering</c:v>
                </c:pt>
              </c:strCache>
            </c:strRef>
          </c:cat>
          <c:val>
            <c:numRef>
              <c:f>'Department &amp; Position'!$H$94:$H$100</c:f>
              <c:numCache>
                <c:formatCode>General</c:formatCode>
                <c:ptCount val="6"/>
                <c:pt idx="0">
                  <c:v>3.5555555555555554</c:v>
                </c:pt>
                <c:pt idx="1">
                  <c:v>3</c:v>
                </c:pt>
                <c:pt idx="2">
                  <c:v>3.96</c:v>
                </c:pt>
                <c:pt idx="3">
                  <c:v>3.861244019138756</c:v>
                </c:pt>
                <c:pt idx="4">
                  <c:v>4.032258064516129</c:v>
                </c:pt>
                <c:pt idx="5">
                  <c:v>4.0909090909090908</c:v>
                </c:pt>
              </c:numCache>
            </c:numRef>
          </c:val>
          <c:extLst>
            <c:ext xmlns:c16="http://schemas.microsoft.com/office/drawing/2014/chart" uri="{C3380CC4-5D6E-409C-BE32-E72D297353CC}">
              <c16:uniqueId val="{0000000C-4056-406D-AB61-C9C223724A79}"/>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[hrDataset.xlsx]Department &amp; Position!PivotTable7</c:name>
    <c:fmtId val="6"/>
  </c:pivotSource>
  <c:chart>
    <c:title>
      <c:tx>
        <c:rich>
          <a:bodyPr rot="0" spcFirstLastPara="1" vertOverflow="ellipsis" vert="horz" wrap="square" anchor="ctr" anchorCtr="1"/>
          <a:lstStyle/>
          <a:p>
            <a:pPr>
              <a:defRPr sz="4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4800" baseline="0"/>
              <a:t>Special project Count</a:t>
            </a:r>
          </a:p>
        </c:rich>
      </c:tx>
      <c:layout>
        <c:manualLayout>
          <c:xMode val="edge"/>
          <c:yMode val="edge"/>
          <c:x val="6.8234801098383147E-2"/>
          <c:y val="7.3740924979308911E-2"/>
        </c:manualLayout>
      </c:layout>
      <c:overlay val="0"/>
      <c:spPr>
        <a:noFill/>
        <a:ln>
          <a:noFill/>
        </a:ln>
        <a:effectLst/>
      </c:spPr>
      <c:txPr>
        <a:bodyPr rot="0" spcFirstLastPara="1" vertOverflow="ellipsis" vert="horz" wrap="square" anchor="ctr" anchorCtr="1"/>
        <a:lstStyle/>
        <a:p>
          <a:pPr>
            <a:defRPr sz="4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05286029340455E-2"/>
          <c:y val="0.26111924540135245"/>
          <c:w val="0.77753907294954794"/>
          <c:h val="0.66899920058696638"/>
        </c:manualLayout>
      </c:layout>
      <c:barChart>
        <c:barDir val="col"/>
        <c:grouping val="clustered"/>
        <c:varyColors val="0"/>
        <c:ser>
          <c:idx val="0"/>
          <c:order val="0"/>
          <c:tx>
            <c:strRef>
              <c:f>'Department &amp; Position'!$B$115</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4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'Department &amp; Position'!$A$116:$A$125</c:f>
              <c:strCache>
                <c:ptCount val="9"/>
                <c:pt idx="0">
                  <c:v>0</c:v>
                </c:pt>
                <c:pt idx="1">
                  <c:v>1</c:v>
                </c:pt>
                <c:pt idx="2">
                  <c:v>2</c:v>
                </c:pt>
                <c:pt idx="3">
                  <c:v>3</c:v>
                </c:pt>
                <c:pt idx="4">
                  <c:v>4</c:v>
                </c:pt>
                <c:pt idx="5">
                  <c:v>5</c:v>
                </c:pt>
                <c:pt idx="6">
                  <c:v>6</c:v>
                </c:pt>
                <c:pt idx="7">
                  <c:v>7</c:v>
                </c:pt>
                <c:pt idx="8">
                  <c:v>8</c:v>
                </c:pt>
              </c:strCache>
            </c:strRef>
          </c:cat>
          <c:val>
            <c:numRef>
              <c:f>'Department &amp; Position'!$B$116:$B$125</c:f>
              <c:numCache>
                <c:formatCode>General</c:formatCode>
                <c:ptCount val="9"/>
                <c:pt idx="0">
                  <c:v>241</c:v>
                </c:pt>
                <c:pt idx="1">
                  <c:v>1</c:v>
                </c:pt>
                <c:pt idx="2">
                  <c:v>1</c:v>
                </c:pt>
                <c:pt idx="3">
                  <c:v>3</c:v>
                </c:pt>
                <c:pt idx="4">
                  <c:v>9</c:v>
                </c:pt>
                <c:pt idx="5">
                  <c:v>21</c:v>
                </c:pt>
                <c:pt idx="6">
                  <c:v>21</c:v>
                </c:pt>
                <c:pt idx="7">
                  <c:v>12</c:v>
                </c:pt>
                <c:pt idx="8">
                  <c:v>2</c:v>
                </c:pt>
              </c:numCache>
            </c:numRef>
          </c:val>
          <c:extLst>
            <c:ext xmlns:c16="http://schemas.microsoft.com/office/drawing/2014/chart" uri="{C3380CC4-5D6E-409C-BE32-E72D297353CC}">
              <c16:uniqueId val="{00000000-D8DC-43ED-887E-263275E06919}"/>
            </c:ext>
          </c:extLst>
        </c:ser>
        <c:dLbls>
          <c:dLblPos val="outEnd"/>
          <c:showLegendKey val="0"/>
          <c:showVal val="1"/>
          <c:showCatName val="0"/>
          <c:showSerName val="0"/>
          <c:showPercent val="0"/>
          <c:showBubbleSize val="0"/>
        </c:dLbls>
        <c:gapWidth val="100"/>
        <c:overlap val="-24"/>
        <c:axId val="1803673007"/>
        <c:axId val="1803675407"/>
      </c:barChart>
      <c:catAx>
        <c:axId val="18036730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1803675407"/>
        <c:crosses val="autoZero"/>
        <c:auto val="1"/>
        <c:lblAlgn val="ctr"/>
        <c:lblOffset val="100"/>
        <c:noMultiLvlLbl val="0"/>
      </c:catAx>
      <c:valAx>
        <c:axId val="18036754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180367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[hrDataset.xlsx]Department &amp; Position!PivotTable8</c:name>
    <c:fmtId val="5"/>
  </c:pivotSource>
  <c:chart>
    <c:title>
      <c:tx>
        <c:rich>
          <a:bodyPr rot="0" spcFirstLastPara="1" vertOverflow="ellipsis" vert="horz" wrap="square" anchor="ctr" anchorCtr="1"/>
          <a:lstStyle/>
          <a:p>
            <a:pPr>
              <a:defRPr sz="4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4600" baseline="0"/>
              <a:t>Project Count By Depatement</a:t>
            </a:r>
          </a:p>
        </c:rich>
      </c:tx>
      <c:layout>
        <c:manualLayout>
          <c:xMode val="edge"/>
          <c:yMode val="edge"/>
          <c:x val="0.28519087391561193"/>
          <c:y val="6.6257655138578495E-2"/>
        </c:manualLayout>
      </c:layout>
      <c:overlay val="0"/>
      <c:spPr>
        <a:noFill/>
        <a:ln>
          <a:noFill/>
        </a:ln>
        <a:effectLst/>
      </c:spPr>
      <c:txPr>
        <a:bodyPr rot="0" spcFirstLastPara="1" vertOverflow="ellipsis" vert="horz" wrap="square" anchor="ctr" anchorCtr="1"/>
        <a:lstStyle/>
        <a:p>
          <a:pPr>
            <a:defRPr sz="4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9.9208282757342996E-4"/>
              <c:y val="-0.2569749411599038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9.3316505338512361E-3"/>
              <c:y val="-4.875385904069296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9.3316505338512361E-3"/>
              <c:y val="-0.1189594160592909"/>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1.036850059316804E-3"/>
              <c:y val="-0.10140802680464137"/>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2.0737001186336081E-3"/>
              <c:y val="-0.11700926169766319"/>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1.7245626608140701E-2"/>
              <c:y val="-4.290339595580984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3410029112180494"/>
          <c:y val="0.23921615891554598"/>
          <c:w val="0.75116538962735802"/>
          <c:h val="0.56749474801369515"/>
        </c:manualLayout>
      </c:layout>
      <c:barChart>
        <c:barDir val="col"/>
        <c:grouping val="clustered"/>
        <c:varyColors val="0"/>
        <c:ser>
          <c:idx val="0"/>
          <c:order val="0"/>
          <c:tx>
            <c:strRef>
              <c:f>'Department &amp; Position'!$H$115</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Pt>
            <c:idx val="0"/>
            <c:invertIfNegative val="0"/>
            <c:bubble3D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0-280C-4F8E-B0A9-B2026C24575C}"/>
              </c:ext>
            </c:extLst>
          </c:dPt>
          <c:dPt>
            <c:idx val="1"/>
            <c:invertIfNegative val="0"/>
            <c:bubble3D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2-280C-4F8E-B0A9-B2026C24575C}"/>
              </c:ext>
            </c:extLst>
          </c:dPt>
          <c:dPt>
            <c:idx val="2"/>
            <c:invertIfNegative val="0"/>
            <c:bubble3D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1-280C-4F8E-B0A9-B2026C24575C}"/>
              </c:ext>
            </c:extLst>
          </c:dPt>
          <c:dPt>
            <c:idx val="3"/>
            <c:invertIfNegative val="0"/>
            <c:bubble3D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3-280C-4F8E-B0A9-B2026C24575C}"/>
              </c:ext>
            </c:extLst>
          </c:dPt>
          <c:dPt>
            <c:idx val="4"/>
            <c:invertIfNegative val="0"/>
            <c:bubble3D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4-280C-4F8E-B0A9-B2026C24575C}"/>
              </c:ext>
            </c:extLst>
          </c:dPt>
          <c:dPt>
            <c:idx val="5"/>
            <c:invertIfNegative val="0"/>
            <c:bubble3D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5-280C-4F8E-B0A9-B2026C24575C}"/>
              </c:ext>
            </c:extLst>
          </c:dPt>
          <c:dLbls>
            <c:dLbl>
              <c:idx val="0"/>
              <c:layout>
                <c:manualLayout>
                  <c:x val="9.9208282757342996E-4"/>
                  <c:y val="-0.2569749411599038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80C-4F8E-B0A9-B2026C24575C}"/>
                </c:ext>
              </c:extLst>
            </c:dLbl>
            <c:dLbl>
              <c:idx val="1"/>
              <c:layout>
                <c:manualLayout>
                  <c:x val="9.3316505338512361E-3"/>
                  <c:y val="-0.118959416059290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80C-4F8E-B0A9-B2026C24575C}"/>
                </c:ext>
              </c:extLst>
            </c:dLbl>
            <c:dLbl>
              <c:idx val="2"/>
              <c:layout>
                <c:manualLayout>
                  <c:x val="-9.3316505338512361E-3"/>
                  <c:y val="-4.875385904069296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80C-4F8E-B0A9-B2026C24575C}"/>
                </c:ext>
              </c:extLst>
            </c:dLbl>
            <c:dLbl>
              <c:idx val="3"/>
              <c:layout>
                <c:manualLayout>
                  <c:x val="1.036850059316804E-3"/>
                  <c:y val="-0.1014080268046413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80C-4F8E-B0A9-B2026C24575C}"/>
                </c:ext>
              </c:extLst>
            </c:dLbl>
            <c:dLbl>
              <c:idx val="4"/>
              <c:layout>
                <c:manualLayout>
                  <c:x val="2.0737001186336081E-3"/>
                  <c:y val="-0.117009261697663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80C-4F8E-B0A9-B2026C24575C}"/>
                </c:ext>
              </c:extLst>
            </c:dLbl>
            <c:dLbl>
              <c:idx val="5"/>
              <c:layout>
                <c:manualLayout>
                  <c:x val="-1.7245626608140701E-2"/>
                  <c:y val="-4.290339595580984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80C-4F8E-B0A9-B2026C24575C}"/>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'Department &amp; Position'!$G$116:$G$122</c:f>
              <c:strCache>
                <c:ptCount val="6"/>
                <c:pt idx="0">
                  <c:v>Admin Offices</c:v>
                </c:pt>
                <c:pt idx="1">
                  <c:v>Executive Office</c:v>
                </c:pt>
                <c:pt idx="2">
                  <c:v>IT/IS</c:v>
                </c:pt>
                <c:pt idx="3">
                  <c:v>Production       </c:v>
                </c:pt>
                <c:pt idx="4">
                  <c:v>Sales</c:v>
                </c:pt>
                <c:pt idx="5">
                  <c:v>Software Engineering</c:v>
                </c:pt>
              </c:strCache>
            </c:strRef>
          </c:cat>
          <c:val>
            <c:numRef>
              <c:f>'Department &amp; Position'!$H$116:$H$122</c:f>
              <c:numCache>
                <c:formatCode>General</c:formatCode>
                <c:ptCount val="6"/>
                <c:pt idx="0">
                  <c:v>3.6666666666666665</c:v>
                </c:pt>
                <c:pt idx="1">
                  <c:v>0</c:v>
                </c:pt>
                <c:pt idx="2">
                  <c:v>5.92</c:v>
                </c:pt>
                <c:pt idx="3">
                  <c:v>1.9138755980861243E-2</c:v>
                </c:pt>
                <c:pt idx="4">
                  <c:v>0</c:v>
                </c:pt>
                <c:pt idx="5">
                  <c:v>4.1818181818181817</c:v>
                </c:pt>
              </c:numCache>
            </c:numRef>
          </c:val>
          <c:extLst>
            <c:ext xmlns:c16="http://schemas.microsoft.com/office/drawing/2014/chart" uri="{C3380CC4-5D6E-409C-BE32-E72D297353CC}">
              <c16:uniqueId val="{00000000-8720-4759-BE16-325DC0491B8D}"/>
            </c:ext>
          </c:extLst>
        </c:ser>
        <c:dLbls>
          <c:showLegendKey val="0"/>
          <c:showVal val="0"/>
          <c:showCatName val="0"/>
          <c:showSerName val="0"/>
          <c:showPercent val="0"/>
          <c:showBubbleSize val="0"/>
        </c:dLbls>
        <c:gapWidth val="100"/>
        <c:overlap val="-24"/>
        <c:axId val="1871711039"/>
        <c:axId val="1871713439"/>
      </c:barChart>
      <c:catAx>
        <c:axId val="187171103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Depatment</a:t>
                </a:r>
              </a:p>
            </c:rich>
          </c:tx>
          <c:layout>
            <c:manualLayout>
              <c:xMode val="edge"/>
              <c:yMode val="edge"/>
              <c:x val="0.46361643944624925"/>
              <c:y val="0.908902740558962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1871713439"/>
        <c:crosses val="autoZero"/>
        <c:auto val="1"/>
        <c:lblAlgn val="ctr"/>
        <c:lblOffset val="100"/>
        <c:noMultiLvlLbl val="0"/>
      </c:catAx>
      <c:valAx>
        <c:axId val="187171343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Project 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1871711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10" Type="http://schemas.openxmlformats.org/officeDocument/2006/relationships/chart" Target="../charts/chart26.xml"/><Relationship Id="rId4" Type="http://schemas.openxmlformats.org/officeDocument/2006/relationships/chart" Target="../charts/chart20.xml"/><Relationship Id="rId9" Type="http://schemas.openxmlformats.org/officeDocument/2006/relationships/chart" Target="../charts/chart2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9.xml"/><Relationship Id="rId7" Type="http://schemas.openxmlformats.org/officeDocument/2006/relationships/chart" Target="../charts/chart33.xml"/><Relationship Id="rId2" Type="http://schemas.openxmlformats.org/officeDocument/2006/relationships/chart" Target="../charts/chart28.xml"/><Relationship Id="rId1" Type="http://schemas.openxmlformats.org/officeDocument/2006/relationships/chart" Target="../charts/chart27.xml"/><Relationship Id="rId6" Type="http://schemas.openxmlformats.org/officeDocument/2006/relationships/chart" Target="../charts/chart32.xml"/><Relationship Id="rId5" Type="http://schemas.openxmlformats.org/officeDocument/2006/relationships/chart" Target="../charts/chart31.xml"/><Relationship Id="rId4" Type="http://schemas.openxmlformats.org/officeDocument/2006/relationships/chart" Target="../charts/chart30.xml"/></Relationships>
</file>

<file path=xl/drawings/_rels/drawing5.xml.rels><?xml version="1.0" encoding="UTF-8" standalone="yes"?>
<Relationships xmlns="http://schemas.openxmlformats.org/package/2006/relationships"><Relationship Id="rId8" Type="http://schemas.openxmlformats.org/officeDocument/2006/relationships/chart" Target="../charts/chart41.xml"/><Relationship Id="rId3" Type="http://schemas.openxmlformats.org/officeDocument/2006/relationships/chart" Target="../charts/chart36.xml"/><Relationship Id="rId7" Type="http://schemas.openxmlformats.org/officeDocument/2006/relationships/chart" Target="../charts/chart40.xml"/><Relationship Id="rId2" Type="http://schemas.openxmlformats.org/officeDocument/2006/relationships/chart" Target="../charts/chart35.xml"/><Relationship Id="rId1" Type="http://schemas.openxmlformats.org/officeDocument/2006/relationships/chart" Target="../charts/chart34.xml"/><Relationship Id="rId6" Type="http://schemas.openxmlformats.org/officeDocument/2006/relationships/chart" Target="../charts/chart39.xml"/><Relationship Id="rId5" Type="http://schemas.openxmlformats.org/officeDocument/2006/relationships/chart" Target="../charts/chart38.xml"/><Relationship Id="rId4" Type="http://schemas.openxmlformats.org/officeDocument/2006/relationships/chart" Target="../charts/chart37.xml"/></Relationships>
</file>

<file path=xl/drawings/_rels/drawing6.xml.rels><?xml version="1.0" encoding="UTF-8" standalone="yes"?>
<Relationships xmlns="http://schemas.openxmlformats.org/package/2006/relationships"><Relationship Id="rId8" Type="http://schemas.openxmlformats.org/officeDocument/2006/relationships/chart" Target="../charts/chart49.xml"/><Relationship Id="rId3" Type="http://schemas.openxmlformats.org/officeDocument/2006/relationships/chart" Target="../charts/chart44.xml"/><Relationship Id="rId7" Type="http://schemas.openxmlformats.org/officeDocument/2006/relationships/chart" Target="../charts/chart48.xml"/><Relationship Id="rId2" Type="http://schemas.openxmlformats.org/officeDocument/2006/relationships/chart" Target="../charts/chart43.xml"/><Relationship Id="rId1" Type="http://schemas.openxmlformats.org/officeDocument/2006/relationships/chart" Target="../charts/chart42.xml"/><Relationship Id="rId6" Type="http://schemas.openxmlformats.org/officeDocument/2006/relationships/chart" Target="../charts/chart47.xml"/><Relationship Id="rId5" Type="http://schemas.openxmlformats.org/officeDocument/2006/relationships/chart" Target="../charts/chart46.xml"/><Relationship Id="rId4" Type="http://schemas.openxmlformats.org/officeDocument/2006/relationships/chart" Target="../charts/chart45.xml"/><Relationship Id="rId9" Type="http://schemas.openxmlformats.org/officeDocument/2006/relationships/chart" Target="../charts/chart50.xml"/></Relationships>
</file>

<file path=xl/drawings/drawing1.xml><?xml version="1.0" encoding="utf-8"?>
<xdr:wsDr xmlns:xdr="http://schemas.openxmlformats.org/drawingml/2006/spreadsheetDrawing" xmlns:a="http://schemas.openxmlformats.org/drawingml/2006/main">
  <xdr:twoCellAnchor>
    <xdr:from>
      <xdr:col>4</xdr:col>
      <xdr:colOff>175260</xdr:colOff>
      <xdr:row>19</xdr:row>
      <xdr:rowOff>160020</xdr:rowOff>
    </xdr:from>
    <xdr:to>
      <xdr:col>8</xdr:col>
      <xdr:colOff>175260</xdr:colOff>
      <xdr:row>30</xdr:row>
      <xdr:rowOff>30480</xdr:rowOff>
    </xdr:to>
    <xdr:graphicFrame macro="">
      <xdr:nvGraphicFramePr>
        <xdr:cNvPr id="3" name="Chart 2">
          <a:extLst>
            <a:ext uri="{FF2B5EF4-FFF2-40B4-BE49-F238E27FC236}">
              <a16:creationId xmlns:a16="http://schemas.microsoft.com/office/drawing/2014/main" id="{46F08E19-AA71-54E3-593E-2EBAAF5A77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39</xdr:row>
      <xdr:rowOff>7620</xdr:rowOff>
    </xdr:from>
    <xdr:to>
      <xdr:col>2</xdr:col>
      <xdr:colOff>815340</xdr:colOff>
      <xdr:row>47</xdr:row>
      <xdr:rowOff>167640</xdr:rowOff>
    </xdr:to>
    <xdr:graphicFrame macro="">
      <xdr:nvGraphicFramePr>
        <xdr:cNvPr id="4" name="Chart 3">
          <a:extLst>
            <a:ext uri="{FF2B5EF4-FFF2-40B4-BE49-F238E27FC236}">
              <a16:creationId xmlns:a16="http://schemas.microsoft.com/office/drawing/2014/main" id="{A31B6542-4985-0B61-3131-EB047FA1E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62</xdr:row>
      <xdr:rowOff>0</xdr:rowOff>
    </xdr:from>
    <xdr:to>
      <xdr:col>2</xdr:col>
      <xdr:colOff>914400</xdr:colOff>
      <xdr:row>74</xdr:row>
      <xdr:rowOff>45720</xdr:rowOff>
    </xdr:to>
    <xdr:graphicFrame macro="">
      <xdr:nvGraphicFramePr>
        <xdr:cNvPr id="5" name="Chart 4">
          <a:extLst>
            <a:ext uri="{FF2B5EF4-FFF2-40B4-BE49-F238E27FC236}">
              <a16:creationId xmlns:a16="http://schemas.microsoft.com/office/drawing/2014/main" id="{2A5C31F2-7169-976A-EDF5-C2E4C75C39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144780</xdr:colOff>
      <xdr:row>37</xdr:row>
      <xdr:rowOff>129540</xdr:rowOff>
    </xdr:from>
    <xdr:to>
      <xdr:col>6</xdr:col>
      <xdr:colOff>1165860</xdr:colOff>
      <xdr:row>49</xdr:row>
      <xdr:rowOff>152400</xdr:rowOff>
    </xdr:to>
    <xdr:graphicFrame macro="">
      <xdr:nvGraphicFramePr>
        <xdr:cNvPr id="6" name="Chart 5">
          <a:extLst>
            <a:ext uri="{FF2B5EF4-FFF2-40B4-BE49-F238E27FC236}">
              <a16:creationId xmlns:a16="http://schemas.microsoft.com/office/drawing/2014/main" id="{8A48BAC0-3F1D-41CE-4CAF-0358AD13F8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297180</xdr:colOff>
      <xdr:row>61</xdr:row>
      <xdr:rowOff>83820</xdr:rowOff>
    </xdr:from>
    <xdr:to>
      <xdr:col>6</xdr:col>
      <xdr:colOff>1219200</xdr:colOff>
      <xdr:row>72</xdr:row>
      <xdr:rowOff>171450</xdr:rowOff>
    </xdr:to>
    <xdr:graphicFrame macro="">
      <xdr:nvGraphicFramePr>
        <xdr:cNvPr id="7" name="Chart 6">
          <a:extLst>
            <a:ext uri="{FF2B5EF4-FFF2-40B4-BE49-F238E27FC236}">
              <a16:creationId xmlns:a16="http://schemas.microsoft.com/office/drawing/2014/main" id="{623D93B2-93EC-DDBB-A994-4BDD513CB3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86</xdr:row>
      <xdr:rowOff>175260</xdr:rowOff>
    </xdr:from>
    <xdr:to>
      <xdr:col>2</xdr:col>
      <xdr:colOff>1607820</xdr:colOff>
      <xdr:row>99</xdr:row>
      <xdr:rowOff>64770</xdr:rowOff>
    </xdr:to>
    <xdr:graphicFrame macro="">
      <xdr:nvGraphicFramePr>
        <xdr:cNvPr id="8" name="Chart 7">
          <a:extLst>
            <a:ext uri="{FF2B5EF4-FFF2-40B4-BE49-F238E27FC236}">
              <a16:creationId xmlns:a16="http://schemas.microsoft.com/office/drawing/2014/main" id="{9877430B-0606-82EE-4B8C-D6A28BE262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609600</xdr:colOff>
      <xdr:row>86</xdr:row>
      <xdr:rowOff>102870</xdr:rowOff>
    </xdr:from>
    <xdr:to>
      <xdr:col>6</xdr:col>
      <xdr:colOff>1356360</xdr:colOff>
      <xdr:row>99</xdr:row>
      <xdr:rowOff>99060</xdr:rowOff>
    </xdr:to>
    <xdr:graphicFrame macro="">
      <xdr:nvGraphicFramePr>
        <xdr:cNvPr id="9" name="Chart 8">
          <a:extLst>
            <a:ext uri="{FF2B5EF4-FFF2-40B4-BE49-F238E27FC236}">
              <a16:creationId xmlns:a16="http://schemas.microsoft.com/office/drawing/2014/main" id="{DC7D4263-5CC3-F3CE-E3AB-902E61587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20</xdr:row>
      <xdr:rowOff>30480</xdr:rowOff>
    </xdr:from>
    <xdr:to>
      <xdr:col>2</xdr:col>
      <xdr:colOff>1013460</xdr:colOff>
      <xdr:row>26</xdr:row>
      <xdr:rowOff>167640</xdr:rowOff>
    </xdr:to>
    <xdr:graphicFrame macro="">
      <xdr:nvGraphicFramePr>
        <xdr:cNvPr id="10" name="Chart 1">
          <a:extLst>
            <a:ext uri="{FF2B5EF4-FFF2-40B4-BE49-F238E27FC236}">
              <a16:creationId xmlns:a16="http://schemas.microsoft.com/office/drawing/2014/main" id="{9A7EF7BE-1911-7A38-7A08-39E0E446AD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24</xdr:row>
      <xdr:rowOff>22860</xdr:rowOff>
    </xdr:from>
    <xdr:to>
      <xdr:col>4</xdr:col>
      <xdr:colOff>160020</xdr:colOff>
      <xdr:row>36</xdr:row>
      <xdr:rowOff>7620</xdr:rowOff>
    </xdr:to>
    <xdr:graphicFrame macro="">
      <xdr:nvGraphicFramePr>
        <xdr:cNvPr id="2" name="Chart 1">
          <a:extLst>
            <a:ext uri="{FF2B5EF4-FFF2-40B4-BE49-F238E27FC236}">
              <a16:creationId xmlns:a16="http://schemas.microsoft.com/office/drawing/2014/main" id="{686FBF1A-91E9-D634-09B5-59AF231F42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79170</xdr:colOff>
      <xdr:row>20</xdr:row>
      <xdr:rowOff>39584</xdr:rowOff>
    </xdr:from>
    <xdr:to>
      <xdr:col>13</xdr:col>
      <xdr:colOff>482139</xdr:colOff>
      <xdr:row>33</xdr:row>
      <xdr:rowOff>79267</xdr:rowOff>
    </xdr:to>
    <xdr:graphicFrame macro="">
      <xdr:nvGraphicFramePr>
        <xdr:cNvPr id="3" name="Chart 2">
          <a:extLst>
            <a:ext uri="{FF2B5EF4-FFF2-40B4-BE49-F238E27FC236}">
              <a16:creationId xmlns:a16="http://schemas.microsoft.com/office/drawing/2014/main" id="{421FB9CF-993B-CB53-D5A1-620DD8AB1A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46</xdr:row>
      <xdr:rowOff>138545</xdr:rowOff>
    </xdr:from>
    <xdr:to>
      <xdr:col>5</xdr:col>
      <xdr:colOff>213360</xdr:colOff>
      <xdr:row>57</xdr:row>
      <xdr:rowOff>30479</xdr:rowOff>
    </xdr:to>
    <xdr:graphicFrame macro="">
      <xdr:nvGraphicFramePr>
        <xdr:cNvPr id="4" name="Chart 3">
          <a:extLst>
            <a:ext uri="{FF2B5EF4-FFF2-40B4-BE49-F238E27FC236}">
              <a16:creationId xmlns:a16="http://schemas.microsoft.com/office/drawing/2014/main" id="{CCE7800D-CE8E-D64C-547F-EE8E8C5D43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99060</xdr:colOff>
      <xdr:row>46</xdr:row>
      <xdr:rowOff>60960</xdr:rowOff>
    </xdr:from>
    <xdr:to>
      <xdr:col>12</xdr:col>
      <xdr:colOff>227611</xdr:colOff>
      <xdr:row>58</xdr:row>
      <xdr:rowOff>148442</xdr:rowOff>
    </xdr:to>
    <xdr:graphicFrame macro="">
      <xdr:nvGraphicFramePr>
        <xdr:cNvPr id="5" name="Chart 4">
          <a:extLst>
            <a:ext uri="{FF2B5EF4-FFF2-40B4-BE49-F238E27FC236}">
              <a16:creationId xmlns:a16="http://schemas.microsoft.com/office/drawing/2014/main" id="{383E0815-D59C-E095-7C36-FA5A982DE0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77</xdr:row>
      <xdr:rowOff>83126</xdr:rowOff>
    </xdr:from>
    <xdr:to>
      <xdr:col>7</xdr:col>
      <xdr:colOff>870857</xdr:colOff>
      <xdr:row>97</xdr:row>
      <xdr:rowOff>118752</xdr:rowOff>
    </xdr:to>
    <xdr:graphicFrame macro="">
      <xdr:nvGraphicFramePr>
        <xdr:cNvPr id="6" name="Chart 5">
          <a:extLst>
            <a:ext uri="{FF2B5EF4-FFF2-40B4-BE49-F238E27FC236}">
              <a16:creationId xmlns:a16="http://schemas.microsoft.com/office/drawing/2014/main" id="{CF950DA9-E473-BF0A-DAC6-493097ECD9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890650</xdr:colOff>
      <xdr:row>75</xdr:row>
      <xdr:rowOff>142504</xdr:rowOff>
    </xdr:from>
    <xdr:to>
      <xdr:col>14</xdr:col>
      <xdr:colOff>207818</xdr:colOff>
      <xdr:row>95</xdr:row>
      <xdr:rowOff>59377</xdr:rowOff>
    </xdr:to>
    <xdr:graphicFrame macro="">
      <xdr:nvGraphicFramePr>
        <xdr:cNvPr id="7" name="Chart 6">
          <a:extLst>
            <a:ext uri="{FF2B5EF4-FFF2-40B4-BE49-F238E27FC236}">
              <a16:creationId xmlns:a16="http://schemas.microsoft.com/office/drawing/2014/main" id="{5FD9A459-B1FA-5611-A756-069A4EAB8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29688</xdr:colOff>
      <xdr:row>109</xdr:row>
      <xdr:rowOff>152400</xdr:rowOff>
    </xdr:from>
    <xdr:to>
      <xdr:col>4</xdr:col>
      <xdr:colOff>475013</xdr:colOff>
      <xdr:row>125</xdr:row>
      <xdr:rowOff>45522</xdr:rowOff>
    </xdr:to>
    <xdr:graphicFrame macro="">
      <xdr:nvGraphicFramePr>
        <xdr:cNvPr id="8" name="Chart 7">
          <a:extLst>
            <a:ext uri="{FF2B5EF4-FFF2-40B4-BE49-F238E27FC236}">
              <a16:creationId xmlns:a16="http://schemas.microsoft.com/office/drawing/2014/main" id="{96147085-79C7-F070-58A8-3D5F18FDD8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643246</xdr:colOff>
      <xdr:row>108</xdr:row>
      <xdr:rowOff>102920</xdr:rowOff>
    </xdr:from>
    <xdr:to>
      <xdr:col>11</xdr:col>
      <xdr:colOff>851065</xdr:colOff>
      <xdr:row>123</xdr:row>
      <xdr:rowOff>174171</xdr:rowOff>
    </xdr:to>
    <xdr:graphicFrame macro="">
      <xdr:nvGraphicFramePr>
        <xdr:cNvPr id="9" name="Chart 8">
          <a:extLst>
            <a:ext uri="{FF2B5EF4-FFF2-40B4-BE49-F238E27FC236}">
              <a16:creationId xmlns:a16="http://schemas.microsoft.com/office/drawing/2014/main" id="{F12E1F06-98A7-1BBD-CD0B-A69124247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30</xdr:row>
      <xdr:rowOff>152400</xdr:rowOff>
    </xdr:from>
    <xdr:to>
      <xdr:col>4</xdr:col>
      <xdr:colOff>426720</xdr:colOff>
      <xdr:row>41</xdr:row>
      <xdr:rowOff>99060</xdr:rowOff>
    </xdr:to>
    <xdr:graphicFrame macro="">
      <xdr:nvGraphicFramePr>
        <xdr:cNvPr id="2" name="Chart 1">
          <a:extLst>
            <a:ext uri="{FF2B5EF4-FFF2-40B4-BE49-F238E27FC236}">
              <a16:creationId xmlns:a16="http://schemas.microsoft.com/office/drawing/2014/main" id="{D4C751CE-1DD3-0992-9941-756E90AED4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480060</xdr:colOff>
      <xdr:row>30</xdr:row>
      <xdr:rowOff>57150</xdr:rowOff>
    </xdr:from>
    <xdr:to>
      <xdr:col>9</xdr:col>
      <xdr:colOff>76200</xdr:colOff>
      <xdr:row>42</xdr:row>
      <xdr:rowOff>0</xdr:rowOff>
    </xdr:to>
    <xdr:graphicFrame macro="">
      <xdr:nvGraphicFramePr>
        <xdr:cNvPr id="3" name="Chart 2">
          <a:extLst>
            <a:ext uri="{FF2B5EF4-FFF2-40B4-BE49-F238E27FC236}">
              <a16:creationId xmlns:a16="http://schemas.microsoft.com/office/drawing/2014/main" id="{44F0BAF4-A645-FA41-EC12-61F7B090E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55</xdr:row>
      <xdr:rowOff>76200</xdr:rowOff>
    </xdr:from>
    <xdr:to>
      <xdr:col>3</xdr:col>
      <xdr:colOff>365760</xdr:colOff>
      <xdr:row>67</xdr:row>
      <xdr:rowOff>7620</xdr:rowOff>
    </xdr:to>
    <xdr:graphicFrame macro="">
      <xdr:nvGraphicFramePr>
        <xdr:cNvPr id="5" name="Chart 4">
          <a:extLst>
            <a:ext uri="{FF2B5EF4-FFF2-40B4-BE49-F238E27FC236}">
              <a16:creationId xmlns:a16="http://schemas.microsoft.com/office/drawing/2014/main" id="{90E0B4D1-7144-7C0E-D096-EE72405E8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365760</xdr:colOff>
      <xdr:row>54</xdr:row>
      <xdr:rowOff>49530</xdr:rowOff>
    </xdr:from>
    <xdr:to>
      <xdr:col>9</xdr:col>
      <xdr:colOff>579120</xdr:colOff>
      <xdr:row>68</xdr:row>
      <xdr:rowOff>83820</xdr:rowOff>
    </xdr:to>
    <xdr:graphicFrame macro="">
      <xdr:nvGraphicFramePr>
        <xdr:cNvPr id="6" name="Chart 5">
          <a:extLst>
            <a:ext uri="{FF2B5EF4-FFF2-40B4-BE49-F238E27FC236}">
              <a16:creationId xmlns:a16="http://schemas.microsoft.com/office/drawing/2014/main" id="{859D557A-3801-F3CD-3985-4CC3C3B486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76</xdr:row>
      <xdr:rowOff>114300</xdr:rowOff>
    </xdr:from>
    <xdr:to>
      <xdr:col>5</xdr:col>
      <xdr:colOff>243840</xdr:colOff>
      <xdr:row>87</xdr:row>
      <xdr:rowOff>114300</xdr:rowOff>
    </xdr:to>
    <xdr:graphicFrame macro="">
      <xdr:nvGraphicFramePr>
        <xdr:cNvPr id="7" name="Chart 6">
          <a:extLst>
            <a:ext uri="{FF2B5EF4-FFF2-40B4-BE49-F238E27FC236}">
              <a16:creationId xmlns:a16="http://schemas.microsoft.com/office/drawing/2014/main" id="{D548D430-9B59-867E-5AF9-5EE311DDFE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396240</xdr:colOff>
      <xdr:row>76</xdr:row>
      <xdr:rowOff>137160</xdr:rowOff>
    </xdr:from>
    <xdr:to>
      <xdr:col>9</xdr:col>
      <xdr:colOff>579120</xdr:colOff>
      <xdr:row>89</xdr:row>
      <xdr:rowOff>68580</xdr:rowOff>
    </xdr:to>
    <xdr:graphicFrame macro="">
      <xdr:nvGraphicFramePr>
        <xdr:cNvPr id="8" name="Chart 7">
          <a:extLst>
            <a:ext uri="{FF2B5EF4-FFF2-40B4-BE49-F238E27FC236}">
              <a16:creationId xmlns:a16="http://schemas.microsoft.com/office/drawing/2014/main" id="{5B63BD1D-7B02-BD0B-30AF-FF5D62F880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100</xdr:row>
      <xdr:rowOff>137160</xdr:rowOff>
    </xdr:from>
    <xdr:to>
      <xdr:col>3</xdr:col>
      <xdr:colOff>533400</xdr:colOff>
      <xdr:row>110</xdr:row>
      <xdr:rowOff>144780</xdr:rowOff>
    </xdr:to>
    <xdr:graphicFrame macro="">
      <xdr:nvGraphicFramePr>
        <xdr:cNvPr id="9" name="Chart 8">
          <a:extLst>
            <a:ext uri="{FF2B5EF4-FFF2-40B4-BE49-F238E27FC236}">
              <a16:creationId xmlns:a16="http://schemas.microsoft.com/office/drawing/2014/main" id="{E90C0B7A-4C4B-2CAA-4FB1-6018FCBFD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480060</xdr:colOff>
      <xdr:row>100</xdr:row>
      <xdr:rowOff>87630</xdr:rowOff>
    </xdr:from>
    <xdr:to>
      <xdr:col>10</xdr:col>
      <xdr:colOff>472440</xdr:colOff>
      <xdr:row>113</xdr:row>
      <xdr:rowOff>22860</xdr:rowOff>
    </xdr:to>
    <xdr:graphicFrame macro="">
      <xdr:nvGraphicFramePr>
        <xdr:cNvPr id="10" name="Chart 9">
          <a:extLst>
            <a:ext uri="{FF2B5EF4-FFF2-40B4-BE49-F238E27FC236}">
              <a16:creationId xmlns:a16="http://schemas.microsoft.com/office/drawing/2014/main" id="{41423DE9-5565-18BC-119E-47FF13E72D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124</xdr:row>
      <xdr:rowOff>83820</xdr:rowOff>
    </xdr:from>
    <xdr:to>
      <xdr:col>5</xdr:col>
      <xdr:colOff>274320</xdr:colOff>
      <xdr:row>138</xdr:row>
      <xdr:rowOff>171450</xdr:rowOff>
    </xdr:to>
    <xdr:graphicFrame macro="">
      <xdr:nvGraphicFramePr>
        <xdr:cNvPr id="11" name="Chart 10">
          <a:extLst>
            <a:ext uri="{FF2B5EF4-FFF2-40B4-BE49-F238E27FC236}">
              <a16:creationId xmlns:a16="http://schemas.microsoft.com/office/drawing/2014/main" id="{717BBA48-45AF-F685-F61E-85A9E87803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76200</xdr:colOff>
      <xdr:row>123</xdr:row>
      <xdr:rowOff>140970</xdr:rowOff>
    </xdr:from>
    <xdr:to>
      <xdr:col>10</xdr:col>
      <xdr:colOff>289560</xdr:colOff>
      <xdr:row>138</xdr:row>
      <xdr:rowOff>140970</xdr:rowOff>
    </xdr:to>
    <xdr:graphicFrame macro="">
      <xdr:nvGraphicFramePr>
        <xdr:cNvPr id="12" name="Chart 11">
          <a:extLst>
            <a:ext uri="{FF2B5EF4-FFF2-40B4-BE49-F238E27FC236}">
              <a16:creationId xmlns:a16="http://schemas.microsoft.com/office/drawing/2014/main" id="{8C7A4636-183B-72C3-6395-02A05C23FE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533400</xdr:colOff>
      <xdr:row>96</xdr:row>
      <xdr:rowOff>49054</xdr:rowOff>
    </xdr:from>
    <xdr:to>
      <xdr:col>26</xdr:col>
      <xdr:colOff>571500</xdr:colOff>
      <xdr:row>132</xdr:row>
      <xdr:rowOff>0</xdr:rowOff>
    </xdr:to>
    <xdr:graphicFrame macro="">
      <xdr:nvGraphicFramePr>
        <xdr:cNvPr id="3" name="Chart 1">
          <a:extLst>
            <a:ext uri="{FF2B5EF4-FFF2-40B4-BE49-F238E27FC236}">
              <a16:creationId xmlns:a16="http://schemas.microsoft.com/office/drawing/2014/main" id="{4DADE2DB-3D50-4542-950E-FB6217746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185059</xdr:colOff>
      <xdr:row>63</xdr:row>
      <xdr:rowOff>93187</xdr:rowOff>
    </xdr:from>
    <xdr:to>
      <xdr:col>60</xdr:col>
      <xdr:colOff>124271</xdr:colOff>
      <xdr:row>91</xdr:row>
      <xdr:rowOff>12937</xdr:rowOff>
    </xdr:to>
    <xdr:graphicFrame macro="">
      <xdr:nvGraphicFramePr>
        <xdr:cNvPr id="2" name="Chart 1">
          <a:extLst>
            <a:ext uri="{FF2B5EF4-FFF2-40B4-BE49-F238E27FC236}">
              <a16:creationId xmlns:a16="http://schemas.microsoft.com/office/drawing/2014/main" id="{8DB2AAB5-02B5-4CA0-A0FB-D92D3CDBD2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0</xdr:colOff>
      <xdr:row>39</xdr:row>
      <xdr:rowOff>0</xdr:rowOff>
    </xdr:from>
    <xdr:to>
      <xdr:col>45</xdr:col>
      <xdr:colOff>342900</xdr:colOff>
      <xdr:row>101</xdr:row>
      <xdr:rowOff>38100</xdr:rowOff>
    </xdr:to>
    <xdr:graphicFrame macro="">
      <xdr:nvGraphicFramePr>
        <xdr:cNvPr id="6" name="Chart 5">
          <a:extLst>
            <a:ext uri="{FF2B5EF4-FFF2-40B4-BE49-F238E27FC236}">
              <a16:creationId xmlns:a16="http://schemas.microsoft.com/office/drawing/2014/main" id="{F7B95F49-BDBD-4C51-9F9E-0006392A0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45</xdr:col>
      <xdr:colOff>647700</xdr:colOff>
      <xdr:row>97</xdr:row>
      <xdr:rowOff>49984</xdr:rowOff>
    </xdr:from>
    <xdr:to>
      <xdr:col>68</xdr:col>
      <xdr:colOff>457200</xdr:colOff>
      <xdr:row>133</xdr:row>
      <xdr:rowOff>152399</xdr:rowOff>
    </xdr:to>
    <xdr:graphicFrame macro="">
      <xdr:nvGraphicFramePr>
        <xdr:cNvPr id="7" name="Chart 6">
          <a:extLst>
            <a:ext uri="{FF2B5EF4-FFF2-40B4-BE49-F238E27FC236}">
              <a16:creationId xmlns:a16="http://schemas.microsoft.com/office/drawing/2014/main" id="{DF336AB5-6E62-4BBB-9135-3D280F679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45</xdr:col>
      <xdr:colOff>385627</xdr:colOff>
      <xdr:row>18</xdr:row>
      <xdr:rowOff>126486</xdr:rowOff>
    </xdr:from>
    <xdr:to>
      <xdr:col>73</xdr:col>
      <xdr:colOff>41817</xdr:colOff>
      <xdr:row>56</xdr:row>
      <xdr:rowOff>138223</xdr:rowOff>
    </xdr:to>
    <xdr:graphicFrame macro="">
      <xdr:nvGraphicFramePr>
        <xdr:cNvPr id="8" name="Chart 7">
          <a:extLst>
            <a:ext uri="{FF2B5EF4-FFF2-40B4-BE49-F238E27FC236}">
              <a16:creationId xmlns:a16="http://schemas.microsoft.com/office/drawing/2014/main" id="{71282349-AED7-48CC-9D14-C427EADFA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273511</xdr:colOff>
      <xdr:row>62</xdr:row>
      <xdr:rowOff>162453</xdr:rowOff>
    </xdr:from>
    <xdr:to>
      <xdr:col>28</xdr:col>
      <xdr:colOff>213</xdr:colOff>
      <xdr:row>94</xdr:row>
      <xdr:rowOff>52292</xdr:rowOff>
    </xdr:to>
    <xdr:graphicFrame macro="">
      <xdr:nvGraphicFramePr>
        <xdr:cNvPr id="9" name="Chart 8">
          <a:extLst>
            <a:ext uri="{FF2B5EF4-FFF2-40B4-BE49-F238E27FC236}">
              <a16:creationId xmlns:a16="http://schemas.microsoft.com/office/drawing/2014/main" id="{C16A50C6-49E5-41F9-B7A8-B5C6A174B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533401</xdr:colOff>
      <xdr:row>17</xdr:row>
      <xdr:rowOff>130761</xdr:rowOff>
    </xdr:from>
    <xdr:to>
      <xdr:col>25</xdr:col>
      <xdr:colOff>165049</xdr:colOff>
      <xdr:row>50</xdr:row>
      <xdr:rowOff>38100</xdr:rowOff>
    </xdr:to>
    <xdr:graphicFrame macro="">
      <xdr:nvGraphicFramePr>
        <xdr:cNvPr id="10" name="Chart 9">
          <a:extLst>
            <a:ext uri="{FF2B5EF4-FFF2-40B4-BE49-F238E27FC236}">
              <a16:creationId xmlns:a16="http://schemas.microsoft.com/office/drawing/2014/main" id="{95B737C7-D04E-4141-AA57-8E4DDBE2C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46</xdr:col>
      <xdr:colOff>235775</xdr:colOff>
      <xdr:row>22</xdr:row>
      <xdr:rowOff>84646</xdr:rowOff>
    </xdr:from>
    <xdr:to>
      <xdr:col>51</xdr:col>
      <xdr:colOff>305373</xdr:colOff>
      <xdr:row>33</xdr:row>
      <xdr:rowOff>20978</xdr:rowOff>
    </xdr:to>
    <mc:AlternateContent xmlns:mc="http://schemas.openxmlformats.org/markup-compatibility/2006" xmlns:a14="http://schemas.microsoft.com/office/drawing/2010/main">
      <mc:Choice Requires="a14">
        <xdr:graphicFrame macro="">
          <xdr:nvGraphicFramePr>
            <xdr:cNvPr id="11" name="RaceDesc">
              <a:extLst>
                <a:ext uri="{FF2B5EF4-FFF2-40B4-BE49-F238E27FC236}">
                  <a16:creationId xmlns:a16="http://schemas.microsoft.com/office/drawing/2014/main" id="{CA2D4A5E-1A44-7CB6-093E-94A56042B729}"/>
                </a:ext>
              </a:extLst>
            </xdr:cNvPr>
            <xdr:cNvGraphicFramePr/>
          </xdr:nvGraphicFramePr>
          <xdr:xfrm>
            <a:off x="0" y="0"/>
            <a:ext cx="0" cy="0"/>
          </xdr:xfrm>
          <a:graphic>
            <a:graphicData uri="http://schemas.microsoft.com/office/drawing/2010/slicer">
              <sle:slicer xmlns:sle="http://schemas.microsoft.com/office/drawing/2010/slicer" name="RaceDesc"/>
            </a:graphicData>
          </a:graphic>
        </xdr:graphicFrame>
      </mc:Choice>
      <mc:Fallback xmlns="">
        <xdr:sp macro="" textlink="">
          <xdr:nvSpPr>
            <xdr:cNvPr id="0" name=""/>
            <xdr:cNvSpPr>
              <a:spLocks noTextEdit="1"/>
            </xdr:cNvSpPr>
          </xdr:nvSpPr>
          <xdr:spPr>
            <a:xfrm>
              <a:off x="27498442" y="5249313"/>
              <a:ext cx="3214360" cy="17989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46</xdr:col>
      <xdr:colOff>561473</xdr:colOff>
      <xdr:row>99</xdr:row>
      <xdr:rowOff>160422</xdr:rowOff>
    </xdr:from>
    <xdr:to>
      <xdr:col>51</xdr:col>
      <xdr:colOff>646745</xdr:colOff>
      <xdr:row>114</xdr:row>
      <xdr:rowOff>99963</xdr:rowOff>
    </xdr:to>
    <mc:AlternateContent xmlns:mc="http://schemas.openxmlformats.org/markup-compatibility/2006" xmlns:a14="http://schemas.microsoft.com/office/drawing/2010/main">
      <mc:Choice Requires="a14">
        <xdr:graphicFrame macro="">
          <xdr:nvGraphicFramePr>
            <xdr:cNvPr id="16" name="State">
              <a:extLst>
                <a:ext uri="{FF2B5EF4-FFF2-40B4-BE49-F238E27FC236}">
                  <a16:creationId xmlns:a16="http://schemas.microsoft.com/office/drawing/2014/main" id="{03A884AF-5133-278C-7ACB-E16D6FFF06E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0127073" y="20391522"/>
              <a:ext cx="3514272" cy="2797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46</xdr:col>
      <xdr:colOff>181274</xdr:colOff>
      <xdr:row>77</xdr:row>
      <xdr:rowOff>20053</xdr:rowOff>
    </xdr:from>
    <xdr:to>
      <xdr:col>49</xdr:col>
      <xdr:colOff>96481</xdr:colOff>
      <xdr:row>85</xdr:row>
      <xdr:rowOff>100264</xdr:rowOff>
    </xdr:to>
    <mc:AlternateContent xmlns:mc="http://schemas.openxmlformats.org/markup-compatibility/2006" xmlns:a14="http://schemas.microsoft.com/office/drawing/2010/main">
      <mc:Choice Requires="a14">
        <xdr:graphicFrame macro="">
          <xdr:nvGraphicFramePr>
            <xdr:cNvPr id="18" name="MaritalStatus">
              <a:extLst>
                <a:ext uri="{FF2B5EF4-FFF2-40B4-BE49-F238E27FC236}">
                  <a16:creationId xmlns:a16="http://schemas.microsoft.com/office/drawing/2014/main" id="{A2FE6FDE-8924-EB68-92FF-6B63BCC0D1CC}"/>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27443941" y="14498053"/>
              <a:ext cx="1802064" cy="14348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381000</xdr:colOff>
      <xdr:row>46</xdr:row>
      <xdr:rowOff>1</xdr:rowOff>
    </xdr:from>
    <xdr:to>
      <xdr:col>34</xdr:col>
      <xdr:colOff>381001</xdr:colOff>
      <xdr:row>56</xdr:row>
      <xdr:rowOff>63501</xdr:rowOff>
    </xdr:to>
    <mc:AlternateContent xmlns:mc="http://schemas.openxmlformats.org/markup-compatibility/2006" xmlns:a14="http://schemas.microsoft.com/office/drawing/2010/main">
      <mc:Choice Requires="a14">
        <xdr:graphicFrame macro="">
          <xdr:nvGraphicFramePr>
            <xdr:cNvPr id="19" name="Age group">
              <a:extLst>
                <a:ext uri="{FF2B5EF4-FFF2-40B4-BE49-F238E27FC236}">
                  <a16:creationId xmlns:a16="http://schemas.microsoft.com/office/drawing/2014/main" id="{0E7F3EF8-D5EA-4340-70D4-4284F15C15F1}"/>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7568333" y="9228668"/>
              <a:ext cx="2963334" cy="1756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412750</xdr:colOff>
      <xdr:row>63</xdr:row>
      <xdr:rowOff>63500</xdr:rowOff>
    </xdr:from>
    <xdr:to>
      <xdr:col>28</xdr:col>
      <xdr:colOff>1</xdr:colOff>
      <xdr:row>70</xdr:row>
      <xdr:rowOff>158751</xdr:rowOff>
    </xdr:to>
    <mc:AlternateContent xmlns:mc="http://schemas.openxmlformats.org/markup-compatibility/2006" xmlns:a14="http://schemas.microsoft.com/office/drawing/2010/main">
      <mc:Choice Requires="a14">
        <xdr:graphicFrame macro="">
          <xdr:nvGraphicFramePr>
            <xdr:cNvPr id="21" name="EmploymentStatus">
              <a:extLst>
                <a:ext uri="{FF2B5EF4-FFF2-40B4-BE49-F238E27FC236}">
                  <a16:creationId xmlns:a16="http://schemas.microsoft.com/office/drawing/2014/main" id="{65F734A5-1CFA-A767-4346-44E819755994}"/>
                </a:ext>
              </a:extLst>
            </xdr:cNvPr>
            <xdr:cNvGraphicFramePr/>
          </xdr:nvGraphicFramePr>
          <xdr:xfrm>
            <a:off x="0" y="0"/>
            <a:ext cx="0" cy="0"/>
          </xdr:xfrm>
          <a:graphic>
            <a:graphicData uri="http://schemas.microsoft.com/office/drawing/2010/slicer">
              <sle:slicer xmlns:sle="http://schemas.microsoft.com/office/drawing/2010/slicer" name="EmploymentStatus"/>
            </a:graphicData>
          </a:graphic>
        </xdr:graphicFrame>
      </mc:Choice>
      <mc:Fallback xmlns="">
        <xdr:sp macro="" textlink="">
          <xdr:nvSpPr>
            <xdr:cNvPr id="0" name=""/>
            <xdr:cNvSpPr>
              <a:spLocks noTextEdit="1"/>
            </xdr:cNvSpPr>
          </xdr:nvSpPr>
          <xdr:spPr>
            <a:xfrm>
              <a:off x="14044083" y="12170833"/>
              <a:ext cx="2550584" cy="1280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63500</xdr:colOff>
      <xdr:row>100</xdr:row>
      <xdr:rowOff>50801</xdr:rowOff>
    </xdr:from>
    <xdr:to>
      <xdr:col>8</xdr:col>
      <xdr:colOff>36286</xdr:colOff>
      <xdr:row>105</xdr:row>
      <xdr:rowOff>177799</xdr:rowOff>
    </xdr:to>
    <mc:AlternateContent xmlns:mc="http://schemas.openxmlformats.org/markup-compatibility/2006" xmlns:a14="http://schemas.microsoft.com/office/drawing/2010/main">
      <mc:Choice Requires="a14">
        <xdr:graphicFrame macro="">
          <xdr:nvGraphicFramePr>
            <xdr:cNvPr id="22" name="Gender 1">
              <a:extLst>
                <a:ext uri="{FF2B5EF4-FFF2-40B4-BE49-F238E27FC236}">
                  <a16:creationId xmlns:a16="http://schemas.microsoft.com/office/drawing/2014/main" id="{56F59CF7-EF13-A86F-9235-655272273FD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435100" y="20472401"/>
              <a:ext cx="4087586" cy="10794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487680</xdr:colOff>
      <xdr:row>23</xdr:row>
      <xdr:rowOff>114301</xdr:rowOff>
    </xdr:from>
    <xdr:to>
      <xdr:col>7</xdr:col>
      <xdr:colOff>378822</xdr:colOff>
      <xdr:row>32</xdr:row>
      <xdr:rowOff>91441</xdr:rowOff>
    </xdr:to>
    <mc:AlternateContent xmlns:mc="http://schemas.openxmlformats.org/markup-compatibility/2006" xmlns:a14="http://schemas.microsoft.com/office/drawing/2010/main">
      <mc:Choice Requires="a14">
        <xdr:graphicFrame macro="">
          <xdr:nvGraphicFramePr>
            <xdr:cNvPr id="23" name="EmploymentStatus 1">
              <a:extLst>
                <a:ext uri="{FF2B5EF4-FFF2-40B4-BE49-F238E27FC236}">
                  <a16:creationId xmlns:a16="http://schemas.microsoft.com/office/drawing/2014/main" id="{17ECF072-970F-6727-E1C7-46A497BE08BB}"/>
                </a:ext>
              </a:extLst>
            </xdr:cNvPr>
            <xdr:cNvGraphicFramePr/>
          </xdr:nvGraphicFramePr>
          <xdr:xfrm>
            <a:off x="0" y="0"/>
            <a:ext cx="0" cy="0"/>
          </xdr:xfrm>
          <a:graphic>
            <a:graphicData uri="http://schemas.microsoft.com/office/drawing/2010/slicer">
              <sle:slicer xmlns:sle="http://schemas.microsoft.com/office/drawing/2010/slicer" name="EmploymentStatus 1"/>
            </a:graphicData>
          </a:graphic>
        </xdr:graphicFrame>
      </mc:Choice>
      <mc:Fallback xmlns="">
        <xdr:sp macro="" textlink="">
          <xdr:nvSpPr>
            <xdr:cNvPr id="0" name=""/>
            <xdr:cNvSpPr>
              <a:spLocks noTextEdit="1"/>
            </xdr:cNvSpPr>
          </xdr:nvSpPr>
          <xdr:spPr>
            <a:xfrm>
              <a:off x="2858347" y="5448301"/>
              <a:ext cx="177800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34</xdr:col>
      <xdr:colOff>132523</xdr:colOff>
      <xdr:row>73</xdr:row>
      <xdr:rowOff>33130</xdr:rowOff>
    </xdr:from>
    <xdr:to>
      <xdr:col>55</xdr:col>
      <xdr:colOff>364436</xdr:colOff>
      <xdr:row>104</xdr:row>
      <xdr:rowOff>99390</xdr:rowOff>
    </xdr:to>
    <xdr:graphicFrame macro="">
      <xdr:nvGraphicFramePr>
        <xdr:cNvPr id="2" name="Chart 1">
          <a:extLst>
            <a:ext uri="{FF2B5EF4-FFF2-40B4-BE49-F238E27FC236}">
              <a16:creationId xmlns:a16="http://schemas.microsoft.com/office/drawing/2014/main" id="{234404D7-1091-4036-A874-9C115EABD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509624</xdr:colOff>
      <xdr:row>11</xdr:row>
      <xdr:rowOff>33131</xdr:rowOff>
    </xdr:from>
    <xdr:to>
      <xdr:col>25</xdr:col>
      <xdr:colOff>268249</xdr:colOff>
      <xdr:row>40</xdr:row>
      <xdr:rowOff>132522</xdr:rowOff>
    </xdr:to>
    <xdr:graphicFrame macro="">
      <xdr:nvGraphicFramePr>
        <xdr:cNvPr id="3" name="Chart 2">
          <a:extLst>
            <a:ext uri="{FF2B5EF4-FFF2-40B4-BE49-F238E27FC236}">
              <a16:creationId xmlns:a16="http://schemas.microsoft.com/office/drawing/2014/main" id="{09EFAB71-9FB8-4660-8817-FA53C9344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58</xdr:col>
      <xdr:colOff>417052</xdr:colOff>
      <xdr:row>6</xdr:row>
      <xdr:rowOff>99392</xdr:rowOff>
    </xdr:from>
    <xdr:to>
      <xdr:col>80</xdr:col>
      <xdr:colOff>563216</xdr:colOff>
      <xdr:row>35</xdr:row>
      <xdr:rowOff>165653</xdr:rowOff>
    </xdr:to>
    <xdr:graphicFrame macro="">
      <xdr:nvGraphicFramePr>
        <xdr:cNvPr id="4" name="Chart 3">
          <a:extLst>
            <a:ext uri="{FF2B5EF4-FFF2-40B4-BE49-F238E27FC236}">
              <a16:creationId xmlns:a16="http://schemas.microsoft.com/office/drawing/2014/main" id="{888133C9-209B-4811-AD30-AC8CD1FF9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45</xdr:col>
      <xdr:colOff>157854</xdr:colOff>
      <xdr:row>37</xdr:row>
      <xdr:rowOff>190666</xdr:rowOff>
    </xdr:from>
    <xdr:to>
      <xdr:col>60</xdr:col>
      <xdr:colOff>563215</xdr:colOff>
      <xdr:row>70</xdr:row>
      <xdr:rowOff>0</xdr:rowOff>
    </xdr:to>
    <xdr:graphicFrame macro="">
      <xdr:nvGraphicFramePr>
        <xdr:cNvPr id="5" name="Chart 4">
          <a:extLst>
            <a:ext uri="{FF2B5EF4-FFF2-40B4-BE49-F238E27FC236}">
              <a16:creationId xmlns:a16="http://schemas.microsoft.com/office/drawing/2014/main" id="{8266F320-7D9F-4075-BD8C-664B2FD6C4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61</xdr:col>
      <xdr:colOff>117597</xdr:colOff>
      <xdr:row>72</xdr:row>
      <xdr:rowOff>189923</xdr:rowOff>
    </xdr:from>
    <xdr:to>
      <xdr:col>83</xdr:col>
      <xdr:colOff>66259</xdr:colOff>
      <xdr:row>106</xdr:row>
      <xdr:rowOff>124573</xdr:rowOff>
    </xdr:to>
    <xdr:graphicFrame macro="">
      <xdr:nvGraphicFramePr>
        <xdr:cNvPr id="6" name="Chart 5">
          <a:extLst>
            <a:ext uri="{FF2B5EF4-FFF2-40B4-BE49-F238E27FC236}">
              <a16:creationId xmlns:a16="http://schemas.microsoft.com/office/drawing/2014/main" id="{A70CD959-E59D-401A-B1AC-F7168F9F9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165652</xdr:colOff>
      <xdr:row>67</xdr:row>
      <xdr:rowOff>111080</xdr:rowOff>
    </xdr:from>
    <xdr:to>
      <xdr:col>26</xdr:col>
      <xdr:colOff>530087</xdr:colOff>
      <xdr:row>104</xdr:row>
      <xdr:rowOff>99391</xdr:rowOff>
    </xdr:to>
    <xdr:graphicFrame macro="">
      <xdr:nvGraphicFramePr>
        <xdr:cNvPr id="7" name="Chart 6">
          <a:extLst>
            <a:ext uri="{FF2B5EF4-FFF2-40B4-BE49-F238E27FC236}">
              <a16:creationId xmlns:a16="http://schemas.microsoft.com/office/drawing/2014/main" id="{15FD3E1F-5CB8-44BF-8FDF-50C6656A6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397564</xdr:colOff>
      <xdr:row>5</xdr:row>
      <xdr:rowOff>165652</xdr:rowOff>
    </xdr:from>
    <xdr:to>
      <xdr:col>49</xdr:col>
      <xdr:colOff>265044</xdr:colOff>
      <xdr:row>35</xdr:row>
      <xdr:rowOff>66260</xdr:rowOff>
    </xdr:to>
    <xdr:graphicFrame macro="">
      <xdr:nvGraphicFramePr>
        <xdr:cNvPr id="8" name="Chart 7">
          <a:extLst>
            <a:ext uri="{FF2B5EF4-FFF2-40B4-BE49-F238E27FC236}">
              <a16:creationId xmlns:a16="http://schemas.microsoft.com/office/drawing/2014/main" id="{66CCFB7E-5A7D-4ABA-857A-B40940E68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198782</xdr:colOff>
      <xdr:row>35</xdr:row>
      <xdr:rowOff>66261</xdr:rowOff>
    </xdr:from>
    <xdr:to>
      <xdr:col>41</xdr:col>
      <xdr:colOff>33130</xdr:colOff>
      <xdr:row>72</xdr:row>
      <xdr:rowOff>33130</xdr:rowOff>
    </xdr:to>
    <xdr:graphicFrame macro="">
      <xdr:nvGraphicFramePr>
        <xdr:cNvPr id="9" name="Chart 8">
          <a:extLst>
            <a:ext uri="{FF2B5EF4-FFF2-40B4-BE49-F238E27FC236}">
              <a16:creationId xmlns:a16="http://schemas.microsoft.com/office/drawing/2014/main" id="{97640BCC-E433-4CC3-BB6E-3EF783A81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17</xdr:col>
      <xdr:colOff>537882</xdr:colOff>
      <xdr:row>11</xdr:row>
      <xdr:rowOff>112059</xdr:rowOff>
    </xdr:from>
    <xdr:to>
      <xdr:col>21</xdr:col>
      <xdr:colOff>376127</xdr:colOff>
      <xdr:row>16</xdr:row>
      <xdr:rowOff>90622</xdr:rowOff>
    </xdr:to>
    <mc:AlternateContent xmlns:mc="http://schemas.openxmlformats.org/markup-compatibility/2006" xmlns:a14="http://schemas.microsoft.com/office/drawing/2010/main">
      <mc:Choice Requires="a14">
        <xdr:graphicFrame macro="">
          <xdr:nvGraphicFramePr>
            <xdr:cNvPr id="10" name="Department">
              <a:extLst>
                <a:ext uri="{FF2B5EF4-FFF2-40B4-BE49-F238E27FC236}">
                  <a16:creationId xmlns:a16="http://schemas.microsoft.com/office/drawing/2014/main" id="{21582EC3-B0E9-54DA-E14F-FAEACE2DA67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613215" y="1847726"/>
              <a:ext cx="2470275" cy="1060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59</xdr:col>
      <xdr:colOff>260678</xdr:colOff>
      <xdr:row>9</xdr:row>
      <xdr:rowOff>90622</xdr:rowOff>
    </xdr:from>
    <xdr:to>
      <xdr:col>62</xdr:col>
      <xdr:colOff>504752</xdr:colOff>
      <xdr:row>16</xdr:row>
      <xdr:rowOff>68210</xdr:rowOff>
    </xdr:to>
    <mc:AlternateContent xmlns:mc="http://schemas.openxmlformats.org/markup-compatibility/2006" xmlns:a14="http://schemas.microsoft.com/office/drawing/2010/main">
      <mc:Choice Requires="a14">
        <xdr:graphicFrame macro="">
          <xdr:nvGraphicFramePr>
            <xdr:cNvPr id="11" name="Salary">
              <a:extLst>
                <a:ext uri="{FF2B5EF4-FFF2-40B4-BE49-F238E27FC236}">
                  <a16:creationId xmlns:a16="http://schemas.microsoft.com/office/drawing/2014/main" id="{1314BB3A-9183-4263-C82A-1A1A6C58BABD}"/>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mlns="">
        <xdr:sp macro="" textlink="">
          <xdr:nvSpPr>
            <xdr:cNvPr id="0" name=""/>
            <xdr:cNvSpPr>
              <a:spLocks noTextEdit="1"/>
            </xdr:cNvSpPr>
          </xdr:nvSpPr>
          <xdr:spPr>
            <a:xfrm>
              <a:off x="35445200" y="2078448"/>
              <a:ext cx="2231900" cy="1501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49</xdr:col>
      <xdr:colOff>533985</xdr:colOff>
      <xdr:row>93</xdr:row>
      <xdr:rowOff>114182</xdr:rowOff>
    </xdr:from>
    <xdr:to>
      <xdr:col>54</xdr:col>
      <xdr:colOff>352392</xdr:colOff>
      <xdr:row>106</xdr:row>
      <xdr:rowOff>33128</xdr:rowOff>
    </xdr:to>
    <mc:AlternateContent xmlns:mc="http://schemas.openxmlformats.org/markup-compatibility/2006" xmlns:a14="http://schemas.microsoft.com/office/drawing/2010/main">
      <mc:Choice Requires="a14">
        <xdr:graphicFrame macro="">
          <xdr:nvGraphicFramePr>
            <xdr:cNvPr id="13" name="Department 1">
              <a:extLst>
                <a:ext uri="{FF2B5EF4-FFF2-40B4-BE49-F238E27FC236}">
                  <a16:creationId xmlns:a16="http://schemas.microsoft.com/office/drawing/2014/main" id="{D80B9012-1F3E-49DD-16DD-6C7A9650B33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9755028" y="19131052"/>
              <a:ext cx="3131451" cy="2072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496674</xdr:colOff>
      <xdr:row>6</xdr:row>
      <xdr:rowOff>77541</xdr:rowOff>
    </xdr:from>
    <xdr:to>
      <xdr:col>48</xdr:col>
      <xdr:colOff>269317</xdr:colOff>
      <xdr:row>12</xdr:row>
      <xdr:rowOff>212024</xdr:rowOff>
    </xdr:to>
    <mc:AlternateContent xmlns:mc="http://schemas.openxmlformats.org/markup-compatibility/2006" xmlns:a14="http://schemas.microsoft.com/office/drawing/2010/main">
      <mc:Choice Requires="a14">
        <xdr:graphicFrame macro="">
          <xdr:nvGraphicFramePr>
            <xdr:cNvPr id="14" name="Department 2">
              <a:extLst>
                <a:ext uri="{FF2B5EF4-FFF2-40B4-BE49-F238E27FC236}">
                  <a16:creationId xmlns:a16="http://schemas.microsoft.com/office/drawing/2014/main" id="{A4263C29-E3BC-F793-1F78-D82BCBDA3B8C}"/>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27332326" y="1667802"/>
              <a:ext cx="1760469" cy="11532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385797</xdr:colOff>
      <xdr:row>64</xdr:row>
      <xdr:rowOff>66259</xdr:rowOff>
    </xdr:from>
    <xdr:to>
      <xdr:col>40</xdr:col>
      <xdr:colOff>158440</xdr:colOff>
      <xdr:row>71</xdr:row>
      <xdr:rowOff>148551</xdr:rowOff>
    </xdr:to>
    <mc:AlternateContent xmlns:mc="http://schemas.openxmlformats.org/markup-compatibility/2006" xmlns:a14="http://schemas.microsoft.com/office/drawing/2010/main">
      <mc:Choice Requires="a14">
        <xdr:graphicFrame macro="">
          <xdr:nvGraphicFramePr>
            <xdr:cNvPr id="15" name="Absences">
              <a:extLst>
                <a:ext uri="{FF2B5EF4-FFF2-40B4-BE49-F238E27FC236}">
                  <a16:creationId xmlns:a16="http://schemas.microsoft.com/office/drawing/2014/main" id="{9947F9FA-DB66-CD0C-49F8-8B5AEE0AFDB3}"/>
                </a:ext>
              </a:extLst>
            </xdr:cNvPr>
            <xdr:cNvGraphicFramePr/>
          </xdr:nvGraphicFramePr>
          <xdr:xfrm>
            <a:off x="0" y="0"/>
            <a:ext cx="0" cy="0"/>
          </xdr:xfrm>
          <a:graphic>
            <a:graphicData uri="http://schemas.microsoft.com/office/drawing/2010/slicer">
              <sle:slicer xmlns:sle="http://schemas.microsoft.com/office/drawing/2010/slicer" name="Absences"/>
            </a:graphicData>
          </a:graphic>
        </xdr:graphicFrame>
      </mc:Choice>
      <mc:Fallback xmlns="">
        <xdr:sp macro="" textlink="">
          <xdr:nvSpPr>
            <xdr:cNvPr id="0" name=""/>
            <xdr:cNvSpPr>
              <a:spLocks noTextEdit="1"/>
            </xdr:cNvSpPr>
          </xdr:nvSpPr>
          <xdr:spPr>
            <a:xfrm>
              <a:off x="22450667" y="13318433"/>
              <a:ext cx="1760469" cy="1241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57</xdr:col>
      <xdr:colOff>223427</xdr:colOff>
      <xdr:row>60</xdr:row>
      <xdr:rowOff>42953</xdr:rowOff>
    </xdr:from>
    <xdr:to>
      <xdr:col>60</xdr:col>
      <xdr:colOff>64401</xdr:colOff>
      <xdr:row>66</xdr:row>
      <xdr:rowOff>66262</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6E7B33CC-5B21-12ED-9566-3A8DB662A29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4215253" y="12499996"/>
              <a:ext cx="1828800" cy="10172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454207</xdr:colOff>
      <xdr:row>69</xdr:row>
      <xdr:rowOff>147482</xdr:rowOff>
    </xdr:from>
    <xdr:to>
      <xdr:col>5</xdr:col>
      <xdr:colOff>140002</xdr:colOff>
      <xdr:row>89</xdr:row>
      <xdr:rowOff>14961</xdr:rowOff>
    </xdr:to>
    <mc:AlternateContent xmlns:mc="http://schemas.openxmlformats.org/markup-compatibility/2006" xmlns:a14="http://schemas.microsoft.com/office/drawing/2010/main">
      <mc:Choice Requires="a14">
        <xdr:graphicFrame macro="">
          <xdr:nvGraphicFramePr>
            <xdr:cNvPr id="17" name="State 1">
              <a:extLst>
                <a:ext uri="{FF2B5EF4-FFF2-40B4-BE49-F238E27FC236}">
                  <a16:creationId xmlns:a16="http://schemas.microsoft.com/office/drawing/2014/main" id="{8EAE1D1B-ECAA-F8BA-6CEC-87C64AE800C4}"/>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050555" y="14393569"/>
              <a:ext cx="2336229" cy="31805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79</xdr:col>
      <xdr:colOff>187785</xdr:colOff>
      <xdr:row>73</xdr:row>
      <xdr:rowOff>113458</xdr:rowOff>
    </xdr:from>
    <xdr:to>
      <xdr:col>81</xdr:col>
      <xdr:colOff>636863</xdr:colOff>
      <xdr:row>85</xdr:row>
      <xdr:rowOff>14965</xdr:rowOff>
    </xdr:to>
    <mc:AlternateContent xmlns:mc="http://schemas.openxmlformats.org/markup-compatibility/2006" xmlns:a14="http://schemas.microsoft.com/office/drawing/2010/main">
      <mc:Choice Requires="a14">
        <xdr:graphicFrame macro="">
          <xdr:nvGraphicFramePr>
            <xdr:cNvPr id="18" name="Age group 1">
              <a:extLst>
                <a:ext uri="{FF2B5EF4-FFF2-40B4-BE49-F238E27FC236}">
                  <a16:creationId xmlns:a16="http://schemas.microsoft.com/office/drawing/2014/main" id="{83B6B10E-C026-57C7-EC2F-8D8122E204C3}"/>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47299263" y="15154675"/>
              <a:ext cx="1774295" cy="1889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xdr:row>
      <xdr:rowOff>143683</xdr:rowOff>
    </xdr:from>
    <xdr:to>
      <xdr:col>14</xdr:col>
      <xdr:colOff>120316</xdr:colOff>
      <xdr:row>33</xdr:row>
      <xdr:rowOff>66261</xdr:rowOff>
    </xdr:to>
    <xdr:graphicFrame macro="">
      <xdr:nvGraphicFramePr>
        <xdr:cNvPr id="2" name="Chart 1">
          <a:extLst>
            <a:ext uri="{FF2B5EF4-FFF2-40B4-BE49-F238E27FC236}">
              <a16:creationId xmlns:a16="http://schemas.microsoft.com/office/drawing/2014/main" id="{E33CB393-8E7A-4649-BB74-7AC2F89619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0</xdr:colOff>
      <xdr:row>21</xdr:row>
      <xdr:rowOff>112329</xdr:rowOff>
    </xdr:from>
    <xdr:to>
      <xdr:col>60</xdr:col>
      <xdr:colOff>132521</xdr:colOff>
      <xdr:row>47</xdr:row>
      <xdr:rowOff>171310</xdr:rowOff>
    </xdr:to>
    <xdr:graphicFrame macro="">
      <xdr:nvGraphicFramePr>
        <xdr:cNvPr id="3" name="Chart 2">
          <a:extLst>
            <a:ext uri="{FF2B5EF4-FFF2-40B4-BE49-F238E27FC236}">
              <a16:creationId xmlns:a16="http://schemas.microsoft.com/office/drawing/2014/main" id="{E3D1CB05-572B-4972-840E-166DB9314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496957</xdr:colOff>
      <xdr:row>70</xdr:row>
      <xdr:rowOff>66259</xdr:rowOff>
    </xdr:from>
    <xdr:to>
      <xdr:col>28</xdr:col>
      <xdr:colOff>266218</xdr:colOff>
      <xdr:row>98</xdr:row>
      <xdr:rowOff>151755</xdr:rowOff>
    </xdr:to>
    <xdr:graphicFrame macro="">
      <xdr:nvGraphicFramePr>
        <xdr:cNvPr id="4" name="Chart 3">
          <a:extLst>
            <a:ext uri="{FF2B5EF4-FFF2-40B4-BE49-F238E27FC236}">
              <a16:creationId xmlns:a16="http://schemas.microsoft.com/office/drawing/2014/main" id="{7C63191B-40D0-4339-88D2-3F17EE0094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463826</xdr:colOff>
      <xdr:row>21</xdr:row>
      <xdr:rowOff>87866</xdr:rowOff>
    </xdr:from>
    <xdr:to>
      <xdr:col>25</xdr:col>
      <xdr:colOff>530087</xdr:colOff>
      <xdr:row>52</xdr:row>
      <xdr:rowOff>66261</xdr:rowOff>
    </xdr:to>
    <xdr:graphicFrame macro="">
      <xdr:nvGraphicFramePr>
        <xdr:cNvPr id="5" name="Chart 4">
          <a:extLst>
            <a:ext uri="{FF2B5EF4-FFF2-40B4-BE49-F238E27FC236}">
              <a16:creationId xmlns:a16="http://schemas.microsoft.com/office/drawing/2014/main" id="{12A36CFE-0364-4B26-85AC-92872ECD8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98</xdr:row>
      <xdr:rowOff>87556</xdr:rowOff>
    </xdr:from>
    <xdr:to>
      <xdr:col>18</xdr:col>
      <xdr:colOff>331303</xdr:colOff>
      <xdr:row>133</xdr:row>
      <xdr:rowOff>76199</xdr:rowOff>
    </xdr:to>
    <xdr:graphicFrame macro="">
      <xdr:nvGraphicFramePr>
        <xdr:cNvPr id="7" name="Chart 6">
          <a:extLst>
            <a:ext uri="{FF2B5EF4-FFF2-40B4-BE49-F238E27FC236}">
              <a16:creationId xmlns:a16="http://schemas.microsoft.com/office/drawing/2014/main" id="{33D75980-22D1-4E91-8295-4A24FAD3B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44</xdr:col>
      <xdr:colOff>184260</xdr:colOff>
      <xdr:row>66</xdr:row>
      <xdr:rowOff>97591</xdr:rowOff>
    </xdr:from>
    <xdr:to>
      <xdr:col>61</xdr:col>
      <xdr:colOff>364435</xdr:colOff>
      <xdr:row>105</xdr:row>
      <xdr:rowOff>112888</xdr:rowOff>
    </xdr:to>
    <xdr:graphicFrame macro="">
      <xdr:nvGraphicFramePr>
        <xdr:cNvPr id="8" name="Chart 7">
          <a:extLst>
            <a:ext uri="{FF2B5EF4-FFF2-40B4-BE49-F238E27FC236}">
              <a16:creationId xmlns:a16="http://schemas.microsoft.com/office/drawing/2014/main" id="{479799AE-360C-459E-972B-0FFC752ED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227524</xdr:colOff>
      <xdr:row>42</xdr:row>
      <xdr:rowOff>39990</xdr:rowOff>
    </xdr:from>
    <xdr:to>
      <xdr:col>44</xdr:col>
      <xdr:colOff>298174</xdr:colOff>
      <xdr:row>72</xdr:row>
      <xdr:rowOff>27212</xdr:rowOff>
    </xdr:to>
    <xdr:graphicFrame macro="">
      <xdr:nvGraphicFramePr>
        <xdr:cNvPr id="9" name="Chart 8">
          <a:extLst>
            <a:ext uri="{FF2B5EF4-FFF2-40B4-BE49-F238E27FC236}">
              <a16:creationId xmlns:a16="http://schemas.microsoft.com/office/drawing/2014/main" id="{D1A8A535-5728-4A57-895F-BF45B9544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62</xdr:col>
      <xdr:colOff>6626</xdr:colOff>
      <xdr:row>100</xdr:row>
      <xdr:rowOff>181535</xdr:rowOff>
    </xdr:from>
    <xdr:to>
      <xdr:col>82</xdr:col>
      <xdr:colOff>208844</xdr:colOff>
      <xdr:row>135</xdr:row>
      <xdr:rowOff>114300</xdr:rowOff>
    </xdr:to>
    <xdr:graphicFrame macro="">
      <xdr:nvGraphicFramePr>
        <xdr:cNvPr id="10" name="Chart 9">
          <a:extLst>
            <a:ext uri="{FF2B5EF4-FFF2-40B4-BE49-F238E27FC236}">
              <a16:creationId xmlns:a16="http://schemas.microsoft.com/office/drawing/2014/main" id="{0BBC773D-35A5-4C48-B5FF-AD4581956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60</xdr:col>
      <xdr:colOff>338669</xdr:colOff>
      <xdr:row>4</xdr:row>
      <xdr:rowOff>87234</xdr:rowOff>
    </xdr:from>
    <xdr:to>
      <xdr:col>82</xdr:col>
      <xdr:colOff>457201</xdr:colOff>
      <xdr:row>33</xdr:row>
      <xdr:rowOff>56443</xdr:rowOff>
    </xdr:to>
    <xdr:graphicFrame macro="">
      <xdr:nvGraphicFramePr>
        <xdr:cNvPr id="11" name="Chart 10">
          <a:extLst>
            <a:ext uri="{FF2B5EF4-FFF2-40B4-BE49-F238E27FC236}">
              <a16:creationId xmlns:a16="http://schemas.microsoft.com/office/drawing/2014/main" id="{6BBBA691-A395-4ECF-92A1-C2A54C088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38100</xdr:colOff>
      <xdr:row>4</xdr:row>
      <xdr:rowOff>111761</xdr:rowOff>
    </xdr:from>
    <xdr:to>
      <xdr:col>13</xdr:col>
      <xdr:colOff>514350</xdr:colOff>
      <xdr:row>10</xdr:row>
      <xdr:rowOff>133351</xdr:rowOff>
    </xdr:to>
    <mc:AlternateContent xmlns:mc="http://schemas.openxmlformats.org/markup-compatibility/2006" xmlns:a14="http://schemas.microsoft.com/office/drawing/2010/main">
      <mc:Choice Requires="a14">
        <xdr:graphicFrame macro="">
          <xdr:nvGraphicFramePr>
            <xdr:cNvPr id="12" name="Department 3">
              <a:extLst>
                <a:ext uri="{FF2B5EF4-FFF2-40B4-BE49-F238E27FC236}">
                  <a16:creationId xmlns:a16="http://schemas.microsoft.com/office/drawing/2014/main" id="{3CD907D7-4EFE-8D61-9F95-8E33820FA418}"/>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6867878" y="789094"/>
              <a:ext cx="1881716" cy="1789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38100</xdr:colOff>
      <xdr:row>22</xdr:row>
      <xdr:rowOff>158750</xdr:rowOff>
    </xdr:from>
    <xdr:to>
      <xdr:col>16</xdr:col>
      <xdr:colOff>635000</xdr:colOff>
      <xdr:row>33</xdr:row>
      <xdr:rowOff>158750</xdr:rowOff>
    </xdr:to>
    <mc:AlternateContent xmlns:mc="http://schemas.openxmlformats.org/markup-compatibility/2006" xmlns:a14="http://schemas.microsoft.com/office/drawing/2010/main">
      <mc:Choice Requires="a14">
        <xdr:graphicFrame macro="">
          <xdr:nvGraphicFramePr>
            <xdr:cNvPr id="13" name="RecruitmentSource">
              <a:extLst>
                <a:ext uri="{FF2B5EF4-FFF2-40B4-BE49-F238E27FC236}">
                  <a16:creationId xmlns:a16="http://schemas.microsoft.com/office/drawing/2014/main" id="{2E71617B-78B0-5A64-CC8D-FEFAD39856AE}"/>
                </a:ext>
              </a:extLst>
            </xdr:cNvPr>
            <xdr:cNvGraphicFramePr/>
          </xdr:nvGraphicFramePr>
          <xdr:xfrm>
            <a:off x="0" y="0"/>
            <a:ext cx="0" cy="0"/>
          </xdr:xfrm>
          <a:graphic>
            <a:graphicData uri="http://schemas.microsoft.com/office/drawing/2010/slicer">
              <sle:slicer xmlns:sle="http://schemas.microsoft.com/office/drawing/2010/slicer" name="RecruitmentSource"/>
            </a:graphicData>
          </a:graphic>
        </xdr:graphicFrame>
      </mc:Choice>
      <mc:Fallback xmlns="">
        <xdr:sp macro="" textlink="">
          <xdr:nvSpPr>
            <xdr:cNvPr id="0" name=""/>
            <xdr:cNvSpPr>
              <a:spLocks noTextEdit="1"/>
            </xdr:cNvSpPr>
          </xdr:nvSpPr>
          <xdr:spPr>
            <a:xfrm>
              <a:off x="8109656" y="4504972"/>
              <a:ext cx="2699455" cy="1862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165100</xdr:colOff>
      <xdr:row>103</xdr:row>
      <xdr:rowOff>107951</xdr:rowOff>
    </xdr:from>
    <xdr:to>
      <xdr:col>17</xdr:col>
      <xdr:colOff>298450</xdr:colOff>
      <xdr:row>111</xdr:row>
      <xdr:rowOff>171451</xdr:rowOff>
    </xdr:to>
    <mc:AlternateContent xmlns:mc="http://schemas.openxmlformats.org/markup-compatibility/2006" xmlns:a14="http://schemas.microsoft.com/office/drawing/2010/main">
      <mc:Choice Requires="a14">
        <xdr:graphicFrame macro="">
          <xdr:nvGraphicFramePr>
            <xdr:cNvPr id="14" name="PerformanceScore">
              <a:extLst>
                <a:ext uri="{FF2B5EF4-FFF2-40B4-BE49-F238E27FC236}">
                  <a16:creationId xmlns:a16="http://schemas.microsoft.com/office/drawing/2014/main" id="{B5DE2D83-D6F1-6813-FEE7-13118A52B531}"/>
                </a:ext>
              </a:extLst>
            </xdr:cNvPr>
            <xdr:cNvGraphicFramePr/>
          </xdr:nvGraphicFramePr>
          <xdr:xfrm>
            <a:off x="0" y="0"/>
            <a:ext cx="0" cy="0"/>
          </xdr:xfrm>
          <a:graphic>
            <a:graphicData uri="http://schemas.microsoft.com/office/drawing/2010/slicer">
              <sle:slicer xmlns:sle="http://schemas.microsoft.com/office/drawing/2010/slicer" name="PerformanceScore"/>
            </a:graphicData>
          </a:graphic>
        </xdr:graphicFrame>
      </mc:Choice>
      <mc:Fallback xmlns="">
        <xdr:sp macro="" textlink="">
          <xdr:nvSpPr>
            <xdr:cNvPr id="0" name=""/>
            <xdr:cNvSpPr>
              <a:spLocks noTextEdit="1"/>
            </xdr:cNvSpPr>
          </xdr:nvSpPr>
          <xdr:spPr>
            <a:xfrm>
              <a:off x="9080500" y="20262851"/>
              <a:ext cx="2876550" cy="1587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35560</xdr:colOff>
      <xdr:row>81</xdr:row>
      <xdr:rowOff>110491</xdr:rowOff>
    </xdr:from>
    <xdr:to>
      <xdr:col>27</xdr:col>
      <xdr:colOff>511810</xdr:colOff>
      <xdr:row>91</xdr:row>
      <xdr:rowOff>31751</xdr:rowOff>
    </xdr:to>
    <mc:AlternateContent xmlns:mc="http://schemas.openxmlformats.org/markup-compatibility/2006" xmlns:a14="http://schemas.microsoft.com/office/drawing/2010/main">
      <mc:Choice Requires="a14">
        <xdr:graphicFrame macro="">
          <xdr:nvGraphicFramePr>
            <xdr:cNvPr id="15" name="Department 4">
              <a:extLst>
                <a:ext uri="{FF2B5EF4-FFF2-40B4-BE49-F238E27FC236}">
                  <a16:creationId xmlns:a16="http://schemas.microsoft.com/office/drawing/2014/main" id="{D8539EE9-A011-44F2-2FBD-2B20221D77CA}"/>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15557782" y="14447380"/>
              <a:ext cx="1881717" cy="1614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598335</xdr:colOff>
      <xdr:row>43</xdr:row>
      <xdr:rowOff>106680</xdr:rowOff>
    </xdr:from>
    <xdr:to>
      <xdr:col>43</xdr:col>
      <xdr:colOff>359796</xdr:colOff>
      <xdr:row>57</xdr:row>
      <xdr:rowOff>22612</xdr:rowOff>
    </xdr:to>
    <mc:AlternateContent xmlns:mc="http://schemas.openxmlformats.org/markup-compatibility/2006" xmlns:a14="http://schemas.microsoft.com/office/drawing/2010/main">
      <mc:Choice Requires="a14">
        <xdr:graphicFrame macro="">
          <xdr:nvGraphicFramePr>
            <xdr:cNvPr id="16" name="EmpSatisfaction">
              <a:extLst>
                <a:ext uri="{FF2B5EF4-FFF2-40B4-BE49-F238E27FC236}">
                  <a16:creationId xmlns:a16="http://schemas.microsoft.com/office/drawing/2014/main" id="{69B015BF-8806-39B9-A7D7-16FB1D50C7D6}"/>
                </a:ext>
              </a:extLst>
            </xdr:cNvPr>
            <xdr:cNvGraphicFramePr/>
          </xdr:nvGraphicFramePr>
          <xdr:xfrm>
            <a:off x="0" y="0"/>
            <a:ext cx="0" cy="0"/>
          </xdr:xfrm>
          <a:graphic>
            <a:graphicData uri="http://schemas.microsoft.com/office/drawing/2010/slicer">
              <sle:slicer xmlns:sle="http://schemas.microsoft.com/office/drawing/2010/slicer" name="EmpSatisfaction"/>
            </a:graphicData>
          </a:graphic>
        </xdr:graphicFrame>
      </mc:Choice>
      <mc:Fallback xmlns="">
        <xdr:sp macro="" textlink="">
          <xdr:nvSpPr>
            <xdr:cNvPr id="0" name=""/>
            <xdr:cNvSpPr>
              <a:spLocks noTextEdit="1"/>
            </xdr:cNvSpPr>
          </xdr:nvSpPr>
          <xdr:spPr>
            <a:xfrm>
              <a:off x="25433891" y="8008902"/>
              <a:ext cx="1852727" cy="2286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55</xdr:col>
      <xdr:colOff>278780</xdr:colOff>
      <xdr:row>23</xdr:row>
      <xdr:rowOff>74340</xdr:rowOff>
    </xdr:from>
    <xdr:to>
      <xdr:col>58</xdr:col>
      <xdr:colOff>511098</xdr:colOff>
      <xdr:row>28</xdr:row>
      <xdr:rowOff>46463</xdr:rowOff>
    </xdr:to>
    <mc:AlternateContent xmlns:mc="http://schemas.openxmlformats.org/markup-compatibility/2006" xmlns:a14="http://schemas.microsoft.com/office/drawing/2010/main">
      <mc:Choice Requires="a14">
        <xdr:graphicFrame macro="">
          <xdr:nvGraphicFramePr>
            <xdr:cNvPr id="20" name="Position">
              <a:extLst>
                <a:ext uri="{FF2B5EF4-FFF2-40B4-BE49-F238E27FC236}">
                  <a16:creationId xmlns:a16="http://schemas.microsoft.com/office/drawing/2014/main" id="{20C96F13-6C5A-4DFB-F5AE-E0058A1112EA}"/>
                </a:ext>
              </a:extLst>
            </xdr:cNvPr>
            <xdr:cNvGraphicFramePr/>
          </xdr:nvGraphicFramePr>
          <xdr:xfrm>
            <a:off x="0" y="0"/>
            <a:ext cx="0" cy="0"/>
          </xdr:xfrm>
          <a:graphic>
            <a:graphicData uri="http://schemas.microsoft.com/office/drawing/2010/slicer">
              <sle:slicer xmlns:sle="http://schemas.microsoft.com/office/drawing/2010/slicer" name="Position"/>
            </a:graphicData>
          </a:graphic>
        </xdr:graphicFrame>
      </mc:Choice>
      <mc:Fallback xmlns="">
        <xdr:sp macro="" textlink="">
          <xdr:nvSpPr>
            <xdr:cNvPr id="0" name=""/>
            <xdr:cNvSpPr>
              <a:spLocks noTextEdit="1"/>
            </xdr:cNvSpPr>
          </xdr:nvSpPr>
          <xdr:spPr>
            <a:xfrm>
              <a:off x="34427669" y="4589896"/>
              <a:ext cx="2334873" cy="8187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79</xdr:col>
      <xdr:colOff>550025</xdr:colOff>
      <xdr:row>4</xdr:row>
      <xdr:rowOff>218209</xdr:rowOff>
    </xdr:from>
    <xdr:to>
      <xdr:col>82</xdr:col>
      <xdr:colOff>279862</xdr:colOff>
      <xdr:row>13</xdr:row>
      <xdr:rowOff>152400</xdr:rowOff>
    </xdr:to>
    <mc:AlternateContent xmlns:mc="http://schemas.openxmlformats.org/markup-compatibility/2006" xmlns:a14="http://schemas.microsoft.com/office/drawing/2010/main">
      <mc:Choice Requires="a14">
        <xdr:graphicFrame macro="">
          <xdr:nvGraphicFramePr>
            <xdr:cNvPr id="21" name="Department 5">
              <a:extLst>
                <a:ext uri="{FF2B5EF4-FFF2-40B4-BE49-F238E27FC236}">
                  <a16:creationId xmlns:a16="http://schemas.microsoft.com/office/drawing/2014/main" id="{6DE964A1-BCB7-BA17-C91C-B91962FB5AA7}"/>
                </a:ext>
              </a:extLst>
            </xdr:cNvPr>
            <xdr:cNvGraphicFramePr/>
          </xdr:nvGraphicFramePr>
          <xdr:xfrm>
            <a:off x="0" y="0"/>
            <a:ext cx="0" cy="0"/>
          </xdr:xfrm>
          <a:graphic>
            <a:graphicData uri="http://schemas.microsoft.com/office/drawing/2010/slicer">
              <sle:slicer xmlns:sle="http://schemas.microsoft.com/office/drawing/2010/slicer" name="Department 5"/>
            </a:graphicData>
          </a:graphic>
        </xdr:graphicFrame>
      </mc:Choice>
      <mc:Fallback xmlns="">
        <xdr:sp macro="" textlink="">
          <xdr:nvSpPr>
            <xdr:cNvPr id="0" name=""/>
            <xdr:cNvSpPr>
              <a:spLocks noTextEdit="1"/>
            </xdr:cNvSpPr>
          </xdr:nvSpPr>
          <xdr:spPr>
            <a:xfrm>
              <a:off x="54728225" y="980209"/>
              <a:ext cx="1787237" cy="23725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58</xdr:col>
      <xdr:colOff>158634</xdr:colOff>
      <xdr:row>67</xdr:row>
      <xdr:rowOff>129540</xdr:rowOff>
    </xdr:from>
    <xdr:to>
      <xdr:col>60</xdr:col>
      <xdr:colOff>574271</xdr:colOff>
      <xdr:row>81</xdr:row>
      <xdr:rowOff>171970</xdr:rowOff>
    </xdr:to>
    <mc:AlternateContent xmlns:mc="http://schemas.openxmlformats.org/markup-compatibility/2006" xmlns:a14="http://schemas.microsoft.com/office/drawing/2010/main">
      <mc:Choice Requires="a14">
        <xdr:graphicFrame macro="">
          <xdr:nvGraphicFramePr>
            <xdr:cNvPr id="22" name="Department 6">
              <a:extLst>
                <a:ext uri="{FF2B5EF4-FFF2-40B4-BE49-F238E27FC236}">
                  <a16:creationId xmlns:a16="http://schemas.microsoft.com/office/drawing/2014/main" id="{15FCEEA1-17EF-02DC-760B-31DECC406E2C}"/>
                </a:ext>
              </a:extLst>
            </xdr:cNvPr>
            <xdr:cNvGraphicFramePr/>
          </xdr:nvGraphicFramePr>
          <xdr:xfrm>
            <a:off x="0" y="0"/>
            <a:ext cx="0" cy="0"/>
          </xdr:xfrm>
          <a:graphic>
            <a:graphicData uri="http://schemas.microsoft.com/office/drawing/2010/slicer">
              <sle:slicer xmlns:sle="http://schemas.microsoft.com/office/drawing/2010/slicer" name="Department 6"/>
            </a:graphicData>
          </a:graphic>
        </xdr:graphicFrame>
      </mc:Choice>
      <mc:Fallback xmlns="">
        <xdr:sp macro="" textlink="">
          <xdr:nvSpPr>
            <xdr:cNvPr id="0" name=""/>
            <xdr:cNvSpPr>
              <a:spLocks noTextEdit="1"/>
            </xdr:cNvSpPr>
          </xdr:nvSpPr>
          <xdr:spPr>
            <a:xfrm>
              <a:off x="36170190" y="12095762"/>
              <a:ext cx="1821103" cy="24130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74</xdr:col>
      <xdr:colOff>369916</xdr:colOff>
      <xdr:row>104</xdr:row>
      <xdr:rowOff>38101</xdr:rowOff>
    </xdr:from>
    <xdr:to>
      <xdr:col>79</xdr:col>
      <xdr:colOff>509155</xdr:colOff>
      <xdr:row>110</xdr:row>
      <xdr:rowOff>20782</xdr:rowOff>
    </xdr:to>
    <mc:AlternateContent xmlns:mc="http://schemas.openxmlformats.org/markup-compatibility/2006" xmlns:a14="http://schemas.microsoft.com/office/drawing/2010/main">
      <mc:Choice Requires="a14">
        <xdr:graphicFrame macro="">
          <xdr:nvGraphicFramePr>
            <xdr:cNvPr id="23" name="SpecialProjectsCount">
              <a:extLst>
                <a:ext uri="{FF2B5EF4-FFF2-40B4-BE49-F238E27FC236}">
                  <a16:creationId xmlns:a16="http://schemas.microsoft.com/office/drawing/2014/main" id="{AA6A6961-1EA8-F37E-A732-E359B9C7420A}"/>
                </a:ext>
              </a:extLst>
            </xdr:cNvPr>
            <xdr:cNvGraphicFramePr/>
          </xdr:nvGraphicFramePr>
          <xdr:xfrm>
            <a:off x="0" y="0"/>
            <a:ext cx="0" cy="0"/>
          </xdr:xfrm>
          <a:graphic>
            <a:graphicData uri="http://schemas.microsoft.com/office/drawing/2010/slicer">
              <sle:slicer xmlns:sle="http://schemas.microsoft.com/office/drawing/2010/slicer" name="SpecialProjectsCount"/>
            </a:graphicData>
          </a:graphic>
        </xdr:graphicFrame>
      </mc:Choice>
      <mc:Fallback xmlns="">
        <xdr:sp macro="" textlink="">
          <xdr:nvSpPr>
            <xdr:cNvPr id="0" name=""/>
            <xdr:cNvSpPr>
              <a:spLocks noTextEdit="1"/>
            </xdr:cNvSpPr>
          </xdr:nvSpPr>
          <xdr:spPr>
            <a:xfrm>
              <a:off x="51119116" y="20383501"/>
              <a:ext cx="3568239" cy="1125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04.297858449077" createdVersion="8" refreshedVersion="8" minRefreshableVersion="3" recordCount="311" xr:uid="{637194F1-54F5-42CB-8D0D-704D2B9ACB60}">
  <cacheSource type="worksheet">
    <worksheetSource name="Table1"/>
  </cacheSource>
  <cacheFields count="31">
    <cacheField name="Employee_Name" numFmtId="0">
      <sharedItems count="311">
        <s v="Adinolfi, Wilson  K"/>
        <s v="Ait Sidi, Karthikeyan   "/>
        <s v="Akinkuolie, Sarah"/>
        <s v="Alagbe,Trina"/>
        <s v="Anderson, Carol "/>
        <s v="Anderson, Linda  "/>
        <s v="Andreola, Colby"/>
        <s v="Athwal, Sam"/>
        <s v="Bachiochi, Linda"/>
        <s v="Bacong, Alejandro "/>
        <s v="Baczenski, Rachael  "/>
        <s v="Barbara, Thomas"/>
        <s v="Barbossa, Hector"/>
        <s v="Barone, Francesco  A"/>
        <s v="Barton, Nader"/>
        <s v="Bates, Norman"/>
        <s v="Beak, Kimberly  "/>
        <s v="Beatrice, Courtney "/>
        <s v="Becker, Renee"/>
        <s v="Becker, Scott"/>
        <s v="Bernstein, Sean"/>
        <s v="Biden, Lowan  M"/>
        <s v="Billis, Helen"/>
        <s v="Blount, Dianna"/>
        <s v="Bondwell, Betsy"/>
        <s v="Booth, Frank"/>
        <s v="Boutwell, Bonalyn"/>
        <s v="Bozzi, Charles"/>
        <s v="Brill, Donna"/>
        <s v="Brown, Mia"/>
        <s v="Buccheri, Joseph  "/>
        <s v="Bugali, Josephine "/>
        <s v="Bunbury, Jessica"/>
        <s v="Burke, Joelle"/>
        <s v="Burkett, Benjamin "/>
        <s v="Cady, Max "/>
        <s v="Candie, Calvin"/>
        <s v="Carabbio, Judith"/>
        <s v="Carey, Michael  "/>
        <s v="Carr, Claudia  N"/>
        <s v="Carter, Michelle "/>
        <s v="Chace, Beatrice "/>
        <s v="Champaigne, Brian"/>
        <s v="Chan, Lin"/>
        <s v="Chang, Donovan  E"/>
        <s v="Chigurh, Anton"/>
        <s v="Chivukula, Enola"/>
        <s v="Cierpiszewski, Caroline  "/>
        <s v="Clayton, Rick"/>
        <s v="Cloninger, Jennifer"/>
        <s v="Close, Phil"/>
        <s v="Clukey, Elijian"/>
        <s v="Cockel, James"/>
        <s v="Cole, Spencer"/>
        <s v="Corleone, Michael"/>
        <s v="Corleone, Vito"/>
        <s v="Cornett, Lisa "/>
        <s v="Costello, Frank"/>
        <s v="Crimmings,   Jean"/>
        <s v="Cross, Noah"/>
        <s v="Daneault, Lynn"/>
        <s v="Daniele, Ann  "/>
        <s v="Darson, Jene'ya "/>
        <s v="Davis, Daniel"/>
        <s v="Dee, Randy"/>
        <s v="DeGweck,  James"/>
        <s v="Del Bosque, Keyla"/>
        <s v="Delarge, Alex"/>
        <s v="Demita, Carla"/>
        <s v="Desimone, Carl "/>
        <s v="DeVito, Tommy"/>
        <s v="Dickinson, Geoff "/>
        <s v="Dietrich, Jenna  "/>
        <s v="DiNocco, Lily "/>
        <s v="Dobrin, Denisa  S"/>
        <s v="Dolan, Linda"/>
        <s v="Dougall, Eric"/>
        <s v="Driver, Elle"/>
        <s v="Dunn, Amy  "/>
        <s v="Dunne, Amy"/>
        <s v="Eaton, Marianne"/>
        <s v="Engdahl, Jean"/>
        <s v="England, Rex"/>
        <s v="Erilus, Angela"/>
        <s v="Estremera, Miguel"/>
        <s v="Evensen, April"/>
        <s v="Exantus, Susan"/>
        <s v="Faller, Megan "/>
        <s v="Fancett, Nicole"/>
        <s v="Ferguson, Susan"/>
        <s v="Fernandes, Nilson  "/>
        <s v="Fett, Boba"/>
        <s v="Fidelia,  Libby"/>
        <s v="Fitzpatrick, Michael  J"/>
        <s v="Foreman, Tanya"/>
        <s v="Forrest, Alex"/>
        <s v="Foss, Jason"/>
        <s v="Foster-Baker, Amy"/>
        <s v="Fraval, Maruk "/>
        <s v="Galia, Lisa"/>
        <s v="Garcia, Raul"/>
        <s v="Gaul, Barbara"/>
        <s v="Gentry, Mildred"/>
        <s v="Gerke, Melisa"/>
        <s v="Gill, Whitney  "/>
        <s v="Gilles, Alex"/>
        <s v="Girifalco, Evelyn"/>
        <s v="Givens, Myriam"/>
        <s v="Goble, Taisha"/>
        <s v="Goeth, Amon"/>
        <s v="Gold, Shenice  "/>
        <s v="Gonzalez, Cayo"/>
        <s v="Gonzalez, Juan"/>
        <s v="Gonzalez, Maria"/>
        <s v="Good, Susan"/>
        <s v="Gordon, David"/>
        <s v="Gosciminski, Phylicia  "/>
        <s v="Goyal, Roxana"/>
        <s v="Gray, Elijiah  "/>
        <s v="Gross, Paula"/>
        <s v="Gruber, Hans"/>
        <s v="Guilianno, Mike"/>
        <s v="Handschiegl, Joanne"/>
        <s v="Hankard, Earnest"/>
        <s v="Harrington, Christie "/>
        <s v="Harrison, Kara"/>
        <s v="Heitzman, Anthony"/>
        <s v="Hendrickson, Trina"/>
        <s v="Hitchcock, Alfred"/>
        <s v="Homberger, Adrienne  J"/>
        <s v="Horton, Jayne"/>
        <s v="Houlihan, Debra"/>
        <s v="Howard, Estelle"/>
        <s v="Hudson, Jane"/>
        <s v="Hunts, Julissa"/>
        <s v="Hutter, Rosalie"/>
        <s v="Huynh, Ming"/>
        <s v="Immediato, Walter"/>
        <s v="Ivey, Rose "/>
        <s v="Jackson, Maryellen"/>
        <s v="Jacobi, Hannah  "/>
        <s v="Jeannite, Tayana"/>
        <s v="Jhaveri, Sneha  "/>
        <s v="Johnson, George"/>
        <s v="Johnson, Noelle "/>
        <s v="Johnston, Yen"/>
        <s v="Jung, Judy  "/>
        <s v="Kampew, Donysha"/>
        <s v="Keatts, Kramer "/>
        <s v="Khemmich, Bartholemew"/>
        <s v="King, Janet"/>
        <s v="Kinsella, Kathleen  "/>
        <s v="Kirill, Alexandra  "/>
        <s v="Knapp, Bradley  J"/>
        <s v="Kretschmer, John"/>
        <s v="Kreuger, Freddy"/>
        <s v="Lajiri,  Jyoti"/>
        <s v="Landa, Hans"/>
        <s v="Langford, Lindsey"/>
        <s v="Langton, Enrico"/>
        <s v="LaRotonda, William  "/>
        <s v="Latif, Mohammed"/>
        <s v="Le, Binh"/>
        <s v="Leach, Dallas"/>
        <s v="LeBlanc, Brandon  R"/>
        <s v="Lecter, Hannibal"/>
        <s v="Leruth, Giovanni"/>
        <s v="Liebig, Ketsia"/>
        <s v="Linares, Marilyn "/>
        <s v="Linden, Mathew"/>
        <s v="Lindsay, Leonara "/>
        <s v="Lundy, Susan"/>
        <s v="Lunquist, Lisa"/>
        <s v="Lydon, Allison"/>
        <s v="Lynch, Lindsay"/>
        <s v="MacLennan, Samuel"/>
        <s v="Mahoney, Lauren  "/>
        <s v="Manchester, Robyn"/>
        <s v="Mancuso, Karen"/>
        <s v="Mangal, Debbie"/>
        <s v="Martin, Sandra"/>
        <s v="Maurice, Shana"/>
        <s v="Carthy, B'rigit"/>
        <s v="Mckenna, Sandy"/>
        <s v="McKinzie, Jac"/>
        <s v="Meads, Elizabeth"/>
        <s v="Medeiros, Jennifer"/>
        <s v="Miller, Brannon"/>
        <s v="Miller, Ned"/>
        <s v="Monkfish, Erasumus"/>
        <s v="Monroe, Peter"/>
        <s v="Monterro, Luisa"/>
        <s v="Moran, Patrick"/>
        <s v="Morway, Tanya"/>
        <s v="Motlagh,  Dawn"/>
        <s v="Moumanil, Maliki "/>
        <s v="Myers, Michael"/>
        <s v="Navathe, Kurt"/>
        <s v="Ndzi, Colombui"/>
        <s v="Ndzi, Horia"/>
        <s v="Newman, Richard "/>
        <s v="Ngodup, Shari "/>
        <s v="Nguyen, Dheepa"/>
        <s v="Nguyen, Lei-Ming"/>
        <s v="Nowlan, Kristie"/>
        <s v="O'hare, Lynn"/>
        <s v="Oliver, Brooke "/>
        <s v="Onque, Jasmine"/>
        <s v="Osturnka, Adeel"/>
        <s v="Owad, Clinton"/>
        <s v="Ozark, Travis"/>
        <s v="Panjwani, Nina"/>
        <s v="Patronick, Lucas"/>
        <s v="Pearson, Randall"/>
        <s v="Smith, Martin"/>
        <s v="Pelletier, Ermine"/>
        <s v="Perry, Shakira"/>
        <s v="Peters, Lauren"/>
        <s v="Peterson, Ebonee  "/>
        <s v="Petingill, Shana  "/>
        <s v="Petrowsky, Thelma"/>
        <s v="Pham, Hong"/>
        <s v="Pitt, Brad "/>
        <s v="Potts, Xana"/>
        <s v="Power, Morissa"/>
        <s v="Punjabhi, Louis  "/>
        <s v="Purinton, Janine"/>
        <s v="Quinn, Sean"/>
        <s v="Rachael, Maggie"/>
        <s v="Rarrick, Quinn"/>
        <s v="Ren, Kylo"/>
        <s v="Rhoads, Thomas"/>
        <s v="Rivera, Haley  "/>
        <s v="Roberson, May"/>
        <s v="Robertson, Peter"/>
        <s v="Robinson, Alain  "/>
        <s v="Robinson, Cherly"/>
        <s v="Robinson, Elias"/>
        <s v="Roby, Lori "/>
        <s v="Roehrich, Bianca"/>
        <s v="Roper, Katie"/>
        <s v="Rose, Ashley  "/>
        <s v="Rossetti, Bruno"/>
        <s v="Roup,Simon"/>
        <s v="Ruiz, Ricardo"/>
        <s v="Saada, Adell"/>
        <s v="Saar-Beckles, Melinda"/>
        <s v="Sadki, Nore  "/>
        <s v="Sahoo, Adil"/>
        <s v="Salter, Jason"/>
        <s v="Sander, Kamrin"/>
        <s v="Sewkumar, Nori"/>
        <s v="Shepard, Anita "/>
        <s v="Shields, Seffi"/>
        <s v="Simard, Kramer"/>
        <s v="Singh, Nan "/>
        <s v="Sloan, Constance"/>
        <s v="Smith, Joe"/>
        <s v="Smith, John"/>
        <s v="Smith, Leigh Ann"/>
        <s v="Smith, Sade"/>
        <s v="Soto, Julia "/>
        <s v="Soze, Keyser"/>
        <s v="Sparks, Taylor  "/>
        <s v="Spirea, Kelley"/>
        <s v="Squatrito, Kristen"/>
        <s v="Stanford,Barbara  M"/>
        <s v="Stansfield, Norman"/>
        <s v="Steans, Tyrone  "/>
        <s v="Stoica, Rick"/>
        <s v="Strong, Caitrin"/>
        <s v="Sullivan, Kissy "/>
        <s v="Sullivan, Timothy"/>
        <s v="Sutwell, Barbara"/>
        <s v="Szabo, Andrew"/>
        <s v="Tannen, Biff"/>
        <s v="Tavares, Desiree  "/>
        <s v="Tejeda, Lenora "/>
        <s v="Terry, Sharlene "/>
        <s v="Theamstern, Sophia"/>
        <s v="Thibaud, Kenneth"/>
        <s v="Tippett, Jeanette"/>
        <s v="Torrence, Jack"/>
        <s v="Trang, Mei"/>
        <s v="Tredinnick, Neville "/>
        <s v="True, Edward"/>
        <s v="Trzeciak, Cybil"/>
        <s v="Turpin, Jumil"/>
        <s v="Valentin,Jackie"/>
        <s v="Veera, Abdellah "/>
        <s v="Vega, Vincent"/>
        <s v="Villanueva, Noah"/>
        <s v="Voldemort, Lord"/>
        <s v="Volk, Colleen"/>
        <s v="Von Massenbach, Anna"/>
        <s v="Walker, Roger"/>
        <s v="Wallace, Courtney  E"/>
        <s v="Wallace, Theresa"/>
        <s v="Wang, Charlie"/>
        <s v="Warfield, Sarah"/>
        <s v="Whittier, Scott"/>
        <s v="Wilber, Barry"/>
        <s v="Wilkes, Annie"/>
        <s v="Williams, Jacquelyn  "/>
        <s v="Winthrop, Jordan  "/>
        <s v="Wolk, Hang  T"/>
        <s v="Woodson, Jason"/>
        <s v="Ybarra, Catherine "/>
        <s v="Zamora, Jennifer"/>
        <s v="Zhou, Julia"/>
        <s v="Zima, Colleen"/>
      </sharedItems>
    </cacheField>
    <cacheField name="EmpID" numFmtId="0">
      <sharedItems containsSemiMixedTypes="0" containsString="0" containsNumber="1" containsInteger="1" minValue="10001" maxValue="10311"/>
    </cacheField>
    <cacheField name="Salary" numFmtId="0">
      <sharedItems containsSemiMixedTypes="0" containsString="0" containsNumber="1" containsInteger="1" minValue="45046" maxValue="250000" count="308">
        <n v="62506"/>
        <n v="104437"/>
        <n v="64955"/>
        <n v="64991"/>
        <n v="50825"/>
        <n v="57568"/>
        <n v="95660"/>
        <n v="59365"/>
        <n v="47837"/>
        <n v="50178"/>
        <n v="54670"/>
        <n v="47211"/>
        <n v="92328"/>
        <n v="58709"/>
        <n v="52505"/>
        <n v="57834"/>
        <n v="70131"/>
        <n v="59026"/>
        <n v="110000"/>
        <n v="53250"/>
        <n v="51044"/>
        <n v="64919"/>
        <n v="62910"/>
        <n v="66441"/>
        <n v="57815"/>
        <n v="103613"/>
        <n v="106367"/>
        <n v="74312"/>
        <n v="53492"/>
        <n v="63000"/>
        <n v="65288"/>
        <n v="64375"/>
        <n v="74326"/>
        <n v="63763"/>
        <n v="62162"/>
        <n v="77692"/>
        <n v="72640"/>
        <n v="93396"/>
        <n v="52846"/>
        <n v="100031"/>
        <n v="71860"/>
        <n v="61656"/>
        <n v="110929"/>
        <n v="54237"/>
        <n v="60380"/>
        <n v="66808"/>
        <n v="64786"/>
        <n v="64816"/>
        <n v="68678"/>
        <n v="64066"/>
        <n v="59369"/>
        <n v="50373"/>
        <n v="63108"/>
        <n v="59144"/>
        <n v="68051"/>
        <n v="170500"/>
        <n v="63381"/>
        <n v="83552"/>
        <n v="56149"/>
        <n v="92329"/>
        <n v="65729"/>
        <n v="85028"/>
        <n v="57583"/>
        <n v="56294"/>
        <n v="56991"/>
        <n v="55722"/>
        <n v="101199"/>
        <n v="61568"/>
        <n v="58275"/>
        <n v="53189"/>
        <n v="96820"/>
        <n v="51259"/>
        <n v="59231"/>
        <n v="61584"/>
        <n v="46335"/>
        <n v="70621"/>
        <n v="138888"/>
        <n v="74241"/>
        <n v="75188"/>
        <n v="62514"/>
        <n v="60070"/>
        <n v="48888"/>
        <n v="54285"/>
        <n v="56847"/>
        <n v="60340"/>
        <n v="59124"/>
        <n v="99280"/>
        <n v="71776"/>
        <n v="65902"/>
        <n v="57748"/>
        <n v="64057"/>
        <n v="53366"/>
        <n v="58530"/>
        <n v="72609"/>
        <n v="55965"/>
        <n v="70187"/>
        <n v="178000"/>
        <n v="99351"/>
        <n v="67251"/>
        <n v="65707"/>
        <n v="52249"/>
        <n v="53171"/>
        <n v="51337"/>
        <n v="51505"/>
        <n v="59370"/>
        <n v="54933"/>
        <n v="61555"/>
        <n v="114800"/>
        <n v="74679"/>
        <n v="53018"/>
        <n v="59892"/>
        <n v="68898"/>
        <n v="61242"/>
        <n v="66825"/>
        <n v="48285"/>
        <n v="66149"/>
        <n v="49256"/>
        <n v="62957"/>
        <n v="63813"/>
        <n v="99020"/>
        <n v="71707"/>
        <n v="54828"/>
        <n v="64246"/>
        <n v="52177"/>
        <n v="62065"/>
        <n v="46998"/>
        <n v="68099"/>
        <n v="70545"/>
        <n v="63478"/>
        <n v="97999"/>
        <n v="180000"/>
        <n v="49920"/>
        <n v="55425"/>
        <n v="69340"/>
        <n v="64995"/>
        <n v="68182"/>
        <n v="83082"/>
        <n v="51908"/>
        <n v="45069"/>
        <n v="60724"/>
        <n v="60436"/>
        <n v="46837"/>
        <n v="105700"/>
        <n v="63322"/>
        <n v="61154"/>
        <n v="68999"/>
        <n v="50482"/>
        <n v="65310"/>
        <n v="250000"/>
        <n v="54005"/>
        <n v="45433"/>
        <n v="46654"/>
        <n v="63973"/>
        <n v="71339"/>
        <n v="93206"/>
        <n v="82758"/>
        <n v="66074"/>
        <n v="46120"/>
        <n v="64520"/>
        <n v="61962"/>
        <n v="81584"/>
        <n v="63676"/>
        <n v="93046"/>
        <n v="64738"/>
        <n v="70468"/>
        <n v="77915"/>
        <n v="52624"/>
        <n v="63450"/>
        <n v="51777"/>
        <n v="67237"/>
        <n v="73330"/>
        <n v="52057"/>
        <n v="47434"/>
        <n v="52788"/>
        <n v="45395"/>
        <n v="62385"/>
        <n v="68407"/>
        <n v="61349"/>
        <n v="105688"/>
        <n v="54132"/>
        <n v="55315"/>
        <n v="62810"/>
        <n v="63291"/>
        <n v="62659"/>
        <n v="55688"/>
        <n v="83667"/>
        <n v="55800"/>
        <n v="58207"/>
        <n v="157000"/>
        <n v="72460"/>
        <n v="72106"/>
        <n v="52599"/>
        <n v="63430"/>
        <n v="74417"/>
        <n v="57575"/>
        <n v="87921"/>
        <n v="50470"/>
        <n v="46664"/>
        <n v="48495"/>
        <n v="52984"/>
        <n v="63695"/>
        <n v="62061"/>
        <n v="66738"/>
        <n v="52674"/>
        <n v="71966"/>
        <n v="63051"/>
        <n v="47414"/>
        <n v="53060"/>
        <n v="68829"/>
        <n v="63515"/>
        <n v="108987"/>
        <n v="93093"/>
        <n v="53564"/>
        <n v="60270"/>
        <n v="45998"/>
        <n v="57954"/>
        <n v="74669"/>
        <n v="74226"/>
        <n v="93554"/>
        <n v="64724"/>
        <n v="47001"/>
        <n v="61844"/>
        <n v="46799"/>
        <n v="59472"/>
        <n v="46430"/>
        <n v="83363"/>
        <n v="95920"/>
        <n v="61729"/>
        <n v="61809"/>
        <n v="45115"/>
        <n v="46738"/>
        <n v="64971"/>
        <n v="55578"/>
        <n v="50428"/>
        <n v="61422"/>
        <n v="63353"/>
        <n v="89883"/>
        <n v="120000"/>
        <n v="150290"/>
        <n v="60627"/>
        <n v="53180"/>
        <n v="140920"/>
        <n v="148999"/>
        <n v="86214"/>
        <n v="47750"/>
        <n v="46428"/>
        <n v="57975"/>
        <n v="88527"/>
        <n v="56147"/>
        <n v="50923"/>
        <n v="50750"/>
        <n v="52087"/>
        <n v="87826"/>
        <n v="51920"/>
        <n v="63878"/>
        <n v="60656"/>
        <n v="72992"/>
        <n v="55000"/>
        <n v="58939"/>
        <n v="66593"/>
        <n v="87565"/>
        <n v="64021"/>
        <n v="65714"/>
        <n v="62425"/>
        <n v="47961"/>
        <n v="58273"/>
        <n v="63003"/>
        <n v="61355"/>
        <n v="60120"/>
        <n v="63682"/>
        <n v="63025"/>
        <n v="59238"/>
        <n v="92989"/>
        <n v="90100"/>
        <n v="60754"/>
        <n v="72202"/>
        <n v="58370"/>
        <n v="48413"/>
        <n v="67176"/>
        <n v="56339"/>
        <n v="64397"/>
        <n v="75281"/>
        <n v="100416"/>
        <n v="74813"/>
        <n v="76029"/>
        <n v="57859"/>
        <n v="58523"/>
        <n v="88976"/>
        <n v="55875"/>
        <n v="113999"/>
        <n v="49773"/>
        <n v="62068"/>
        <n v="66541"/>
        <n v="80512"/>
        <n v="50274"/>
        <n v="84903"/>
        <n v="107226"/>
        <n v="58371"/>
        <n v="55140"/>
        <n v="58062"/>
        <n v="59728"/>
        <n v="70507"/>
        <n v="60446"/>
        <n v="65893"/>
        <n v="48513"/>
        <n v="220450"/>
        <n v="89292"/>
        <n v="45046"/>
      </sharedItems>
    </cacheField>
    <cacheField name="Position" numFmtId="0">
      <sharedItems count="32">
        <s v="Production Technician I"/>
        <s v="Sr. DBA"/>
        <s v="Production Technician II"/>
        <s v="Software Engineer"/>
        <s v="IT Support"/>
        <s v="Data Analyst"/>
        <s v="Database Administrator"/>
        <s v="Enterprise Architect"/>
        <s v="Sr. Accountant"/>
        <s v="Production Manager"/>
        <s v="Accountant I"/>
        <s v="Area Sales Manager"/>
        <s v="Software Engineering Manager"/>
        <s v="BI Director"/>
        <s v="Director of Operations"/>
        <s v="Sr. Network Engineer"/>
        <s v="Sales Manager"/>
        <s v="BI Developer"/>
        <s v="IT Manager - Support"/>
        <s v="Network Engineer"/>
        <s v="IT Director"/>
        <s v="Director of Sales"/>
        <s v="Administrative Assistant"/>
        <s v="President &amp; CEO"/>
        <s v="Senior BI Developer"/>
        <s v="Shared Services Manager"/>
        <s v="IT Manager - Infra"/>
        <s v="Principal Data Architect"/>
        <s v="Data Architect"/>
        <s v="IT Manager - DB"/>
        <s v="Data Analyst "/>
        <s v="CIO"/>
      </sharedItems>
      <fieldGroup par="30"/>
    </cacheField>
    <cacheField name="State" numFmtId="0">
      <sharedItems count="28">
        <s v="MA"/>
        <s v="TX"/>
        <s v="CT"/>
        <s v="VA"/>
        <s v="VT"/>
        <s v="AL"/>
        <s v="WA"/>
        <s v="CA"/>
        <s v="OH"/>
        <s v="IN"/>
        <s v="TN"/>
        <s v="NH"/>
        <s v="RI"/>
        <s v="PA"/>
        <s v="CO"/>
        <s v="NY"/>
        <s v="UT"/>
        <s v="GA"/>
        <s v="FL"/>
        <s v="NC"/>
        <s v="KY"/>
        <s v="ID"/>
        <s v="NV"/>
        <s v="MT"/>
        <s v="OR"/>
        <s v="ND"/>
        <s v="AZ"/>
        <s v="ME"/>
      </sharedItems>
      <fieldGroup par="28"/>
    </cacheField>
    <cacheField name="Zip" numFmtId="0">
      <sharedItems containsSemiMixedTypes="0" containsString="0" containsNumber="1" containsInteger="1" minValue="1013" maxValue="98052"/>
    </cacheField>
    <cacheField name="DateofBirth" numFmtId="164">
      <sharedItems containsSemiMixedTypes="0" containsNonDate="0" containsDate="1" containsString="0" minDate="1951-02-01T00:00:00" maxDate="1992-08-18T00:00:00"/>
    </cacheField>
    <cacheField name="Gender" numFmtId="0">
      <sharedItems count="2">
        <s v="M "/>
        <s v="F"/>
      </sharedItems>
    </cacheField>
    <cacheField name="MaritalStatus" numFmtId="0">
      <sharedItems count="5">
        <s v="Single"/>
        <s v="Married"/>
        <s v="Divorced"/>
        <s v="Widowed"/>
        <s v="Separated"/>
      </sharedItems>
    </cacheField>
    <cacheField name="CitizenDesc" numFmtId="0">
      <sharedItems count="3">
        <s v="US Citizen"/>
        <s v="Eligible NonCitizen"/>
        <s v="Non-Citizen"/>
      </sharedItems>
    </cacheField>
    <cacheField name="HispanicLatino" numFmtId="0">
      <sharedItems/>
    </cacheField>
    <cacheField name="RaceDesc" numFmtId="0">
      <sharedItems count="6">
        <s v="White"/>
        <s v="Black or African American"/>
        <s v="Two or more races"/>
        <s v="Asian"/>
        <s v="American Indian or Alaska Native"/>
        <s v="Hispanic"/>
      </sharedItems>
    </cacheField>
    <cacheField name="DateofHire" numFmtId="164">
      <sharedItems containsSemiMixedTypes="0" containsNonDate="0" containsDate="1" containsString="0" minDate="2006-09-01T00:00:00" maxDate="2018-09-08T00:00:00"/>
    </cacheField>
    <cacheField name="DateofTermination" numFmtId="164">
      <sharedItems containsSemiMixedTypes="0" containsNonDate="0" containsDate="1" containsString="0" minDate="1990-01-01T00:00:00" maxDate="2018-10-12T00:00:00"/>
    </cacheField>
    <cacheField name="TermReason" numFmtId="0">
      <sharedItems count="18">
        <s v="N/A-StillEmployed"/>
        <s v="career change"/>
        <s v="hours"/>
        <s v="return to school"/>
        <s v="Another position"/>
        <s v="unhappy"/>
        <s v="attendance"/>
        <s v="performance"/>
        <s v="Learned that he is a gangster"/>
        <s v="retiring"/>
        <s v="relocation out of area"/>
        <s v="more money"/>
        <s v="military"/>
        <s v="no-call, no-show"/>
        <s v="Fatal attraction"/>
        <s v="maternity leave - did not return"/>
        <s v="medical issues"/>
        <s v="gross misconduct"/>
      </sharedItems>
    </cacheField>
    <cacheField name="EmploymentStatus" numFmtId="0">
      <sharedItems count="3">
        <s v="Active"/>
        <s v="Voluntarily Terminated"/>
        <s v="Terminated for Cause"/>
      </sharedItems>
    </cacheField>
    <cacheField name="Department" numFmtId="0">
      <sharedItems count="6">
        <s v="Production       "/>
        <s v="IT/IS"/>
        <s v="Software Engineering"/>
        <s v="Admin Offices"/>
        <s v="Sales"/>
        <s v="Executive Office"/>
      </sharedItems>
    </cacheField>
    <cacheField name="ManagerName" numFmtId="0">
      <sharedItems count="21">
        <s v="Michael Albert"/>
        <s v="Simon Roup"/>
        <s v="Kissy Sullivan"/>
        <s v="Elijiah Gray"/>
        <s v="Webster Butler"/>
        <s v="Amy Dunn"/>
        <s v="Alex Sweetwater"/>
        <s v="Ketsia Liebig"/>
        <s v="Brannon Miller"/>
        <s v="Peter Monroe"/>
        <s v="David Stanley"/>
        <s v="Kelley Spirea"/>
        <s v="Brandon R. LeBlanc"/>
        <s v="Janet King"/>
        <s v="John Smith"/>
        <s v="Jennifer Zamora"/>
        <s v="Lynn Daneault"/>
        <s v="Eric Dougall"/>
        <s v="Debra Houlihan"/>
        <s v="Brian Champaigne"/>
        <s v="Board of Directors"/>
      </sharedItems>
      <fieldGroup par="29"/>
    </cacheField>
    <cacheField name="RecruitmentSource" numFmtId="0">
      <sharedItems count="9">
        <s v="LinkedIn"/>
        <s v="Indeed"/>
        <s v="Google Search"/>
        <s v="Employee Referral"/>
        <s v="Diversity Job Fair"/>
        <s v="On-line Web application"/>
        <s v="CareerBuilder"/>
        <s v="Website"/>
        <s v="Other"/>
      </sharedItems>
    </cacheField>
    <cacheField name="PerformanceScore" numFmtId="0">
      <sharedItems count="4">
        <s v="Exceeds"/>
        <s v="Fully Meets"/>
        <s v="Needs Improvement"/>
        <s v="PIP"/>
      </sharedItems>
    </cacheField>
    <cacheField name="EngagementSurvey" numFmtId="0">
      <sharedItems containsSemiMixedTypes="0" containsString="0" containsNumber="1" minValue="1.1200000000000001" maxValue="5" count="119">
        <n v="4.5999999999999996"/>
        <n v="4.96"/>
        <n v="3.02"/>
        <n v="4.84"/>
        <n v="5"/>
        <n v="3.04"/>
        <n v="4.46"/>
        <n v="4.2"/>
        <n v="4.28"/>
        <n v="4.4000000000000004"/>
        <n v="4.5"/>
        <n v="2"/>
        <n v="4.8"/>
        <n v="3.5"/>
        <n v="3.39"/>
        <n v="3.35"/>
        <n v="3.19"/>
        <n v="3.14"/>
        <n v="4.51"/>
        <n v="3.25"/>
        <n v="3.84"/>
        <n v="4.43"/>
        <n v="3.3"/>
        <n v="3.8"/>
        <n v="3"/>
        <n v="4.3"/>
        <n v="3.58"/>
        <n v="4.7"/>
        <n v="4.0999999999999996"/>
        <n v="4.13"/>
        <n v="3.7"/>
        <n v="4.7300000000000004"/>
        <n v="4.12"/>
        <n v="4.62"/>
        <n v="3.1"/>
        <n v="3.96"/>
        <n v="3.79"/>
        <n v="1.93"/>
        <n v="1.1200000000000001"/>
        <n v="3.01"/>
        <n v="2.2999999999999998"/>
        <n v="3.88"/>
        <n v="3.4"/>
        <n v="4.1100000000000003"/>
        <n v="4.7699999999999996"/>
        <n v="4.5199999999999996"/>
        <n v="2.9"/>
        <n v="2.1"/>
        <n v="4"/>
        <n v="3.13"/>
        <n v="1.56"/>
        <n v="1.2"/>
        <n v="4.76"/>
        <n v="3.66"/>
        <n v="3.73"/>
        <n v="4.24"/>
        <n v="3.97"/>
        <n v="3.9"/>
        <n v="4.6100000000000003"/>
        <n v="4.63"/>
        <n v="4.6399999999999997"/>
        <n v="4.17"/>
        <n v="3.6"/>
        <n v="3.03"/>
        <n v="4.4800000000000004"/>
        <n v="3.24"/>
        <n v="3.72"/>
        <n v="2.34"/>
        <n v="3.99"/>
        <n v="3.75"/>
        <n v="3.07"/>
        <n v="4.83"/>
        <n v="3.49"/>
        <n v="3.38"/>
        <n v="3.65"/>
        <n v="4.78"/>
        <n v="4.9000000000000004"/>
        <n v="4.88"/>
        <n v="4.53"/>
        <n v="3.18"/>
        <n v="4.6500000000000004"/>
        <n v="3.08"/>
        <n v="3.93"/>
        <n v="4.18"/>
        <n v="4.37"/>
        <n v="2.39"/>
        <n v="3.81"/>
        <n v="4.29"/>
        <n v="2.33"/>
        <n v="4.25"/>
        <n v="3.89"/>
        <n v="3.54"/>
        <n v="2.4"/>
        <n v="3.45"/>
        <n v="4.16"/>
        <n v="3.17"/>
        <n v="4.1500000000000004"/>
        <n v="3.98"/>
        <n v="4.3600000000000003"/>
        <n v="3.69"/>
        <n v="4.9400000000000004"/>
        <n v="2.6"/>
        <n v="3.51"/>
        <n v="3.31"/>
        <n v="4.8099999999999996"/>
        <n v="3.32"/>
        <n v="4.68"/>
        <n v="3.27"/>
        <n v="1.81"/>
        <n v="4.21"/>
        <n v="2.44"/>
        <n v="2.81"/>
        <n v="4.33"/>
        <n v="3.21"/>
        <n v="3.11"/>
        <n v="2.5"/>
        <n v="3.42"/>
        <n v="4.07"/>
        <n v="3.2"/>
      </sharedItems>
    </cacheField>
    <cacheField name="EmpSatisfaction" numFmtId="0">
      <sharedItems containsSemiMixedTypes="0" containsString="0" containsNumber="1" containsInteger="1" minValue="1" maxValue="5" count="5">
        <n v="5"/>
        <n v="3"/>
        <n v="4"/>
        <n v="2"/>
        <n v="1"/>
      </sharedItems>
    </cacheField>
    <cacheField name="SpecialProjectsCount" numFmtId="0">
      <sharedItems containsSemiMixedTypes="0" containsString="0" containsNumber="1" containsInteger="1" minValue="0" maxValue="8" count="9">
        <n v="0"/>
        <n v="6"/>
        <n v="4"/>
        <n v="5"/>
        <n v="7"/>
        <n v="3"/>
        <n v="8"/>
        <n v="2"/>
        <n v="1"/>
      </sharedItems>
    </cacheField>
    <cacheField name="LastPerformanceReview_Date" numFmtId="164">
      <sharedItems containsSemiMixedTypes="0" containsNonDate="0" containsDate="1" containsString="0" minDate="2010-07-14T00:00:00" maxDate="2019-12-03T00:00:00"/>
    </cacheField>
    <cacheField name="DaysLateLast30" numFmtId="0">
      <sharedItems containsSemiMixedTypes="0" containsString="0" containsNumber="1" containsInteger="1" minValue="0" maxValue="6"/>
    </cacheField>
    <cacheField name="Absences" numFmtId="0">
      <sharedItems containsSemiMixedTypes="0" containsString="0" containsNumber="1" containsInteger="1" minValue="1" maxValue="20" count="20">
        <n v="1"/>
        <n v="17"/>
        <n v="3"/>
        <n v="15"/>
        <n v="2"/>
        <n v="19"/>
        <n v="4"/>
        <n v="16"/>
        <n v="12"/>
        <n v="9"/>
        <n v="7"/>
        <n v="20"/>
        <n v="8"/>
        <n v="13"/>
        <n v="5"/>
        <n v="14"/>
        <n v="6"/>
        <n v="11"/>
        <n v="10"/>
        <n v="18"/>
      </sharedItems>
    </cacheField>
    <cacheField name="age" numFmtId="0">
      <sharedItems containsSemiMixedTypes="0" containsString="0" containsNumber="1" containsInteger="1" minValue="27" maxValue="68"/>
    </cacheField>
    <cacheField name="Age group" numFmtId="0">
      <sharedItems count="5">
        <s v="31-40"/>
        <s v="41-50"/>
        <s v="51-60"/>
        <s v="60+"/>
        <s v="21-30"/>
      </sharedItems>
    </cacheField>
    <cacheField name="State2" numFmtId="0" databaseField="0">
      <fieldGroup base="4">
        <discretePr count="28">
          <x v="0"/>
          <x v="1"/>
          <x v="1"/>
          <x v="1"/>
          <x v="1"/>
          <x v="1"/>
          <x v="1"/>
          <x v="1"/>
          <x v="1"/>
          <x v="1"/>
          <x v="1"/>
          <x v="1"/>
          <x v="1"/>
          <x v="1"/>
          <x v="1"/>
          <x v="1"/>
          <x v="1"/>
          <x v="1"/>
          <x v="1"/>
          <x v="1"/>
          <x v="1"/>
          <x v="1"/>
          <x v="1"/>
          <x v="1"/>
          <x v="1"/>
          <x v="1"/>
          <x v="1"/>
          <x v="1"/>
        </discretePr>
        <groupItems count="2">
          <s v="MA"/>
          <s v="Group1"/>
        </groupItems>
      </fieldGroup>
    </cacheField>
    <cacheField name="ManagerName2" numFmtId="0" databaseField="0">
      <fieldGroup base="17">
        <discretePr count="21">
          <x v="0"/>
          <x v="0"/>
          <x v="0"/>
          <x v="0"/>
          <x v="0"/>
          <x v="0"/>
          <x v="1"/>
          <x v="1"/>
          <x v="0"/>
          <x v="1"/>
          <x v="0"/>
          <x v="0"/>
          <x v="1"/>
          <x v="0"/>
          <x v="1"/>
          <x v="1"/>
          <x v="1"/>
          <x v="1"/>
          <x v="1"/>
          <x v="1"/>
          <x v="1"/>
        </discretePr>
        <groupItems count="2">
          <s v="Group1"/>
          <s v="Group2"/>
        </groupItems>
      </fieldGroup>
    </cacheField>
    <cacheField name="Position2" numFmtId="0" databaseField="0">
      <fieldGroup base="3">
        <discretePr count="32">
          <x v="1"/>
          <x v="0"/>
          <x v="1"/>
          <x v="1"/>
          <x v="1"/>
          <x v="1"/>
          <x v="0"/>
          <x v="0"/>
          <x v="0"/>
          <x v="1"/>
          <x v="0"/>
          <x v="1"/>
          <x v="0"/>
          <x v="0"/>
          <x v="0"/>
          <x v="0"/>
          <x v="0"/>
          <x v="0"/>
          <x v="0"/>
          <x v="0"/>
          <x v="0"/>
          <x v="0"/>
          <x v="0"/>
          <x v="0"/>
          <x v="0"/>
          <x v="0"/>
          <x v="0"/>
          <x v="0"/>
          <x v="0"/>
          <x v="0"/>
          <x v="0"/>
          <x v="0"/>
        </discretePr>
        <groupItems count="2">
          <s v="Group1"/>
          <s v="Group2"/>
        </groupItems>
      </fieldGroup>
    </cacheField>
  </cacheFields>
  <extLst>
    <ext xmlns:x14="http://schemas.microsoft.com/office/spreadsheetml/2009/9/main" uri="{725AE2AE-9491-48be-B2B4-4EB974FC3084}">
      <x14:pivotCacheDefinition pivotCacheId="1652682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x v="0"/>
    <n v="10026"/>
    <x v="0"/>
    <x v="0"/>
    <x v="0"/>
    <n v="1960"/>
    <d v="1983-10-07T00:00:00"/>
    <x v="0"/>
    <x v="0"/>
    <x v="0"/>
    <s v="No"/>
    <x v="0"/>
    <d v="2011-05-07T00:00:00"/>
    <d v="1990-01-01T00:00:00"/>
    <x v="0"/>
    <x v="0"/>
    <x v="0"/>
    <x v="0"/>
    <x v="0"/>
    <x v="0"/>
    <x v="0"/>
    <x v="0"/>
    <x v="0"/>
    <d v="2019-01-17T00:00:00"/>
    <n v="0"/>
    <x v="0"/>
    <n v="36"/>
    <x v="0"/>
  </r>
  <r>
    <x v="1"/>
    <n v="10084"/>
    <x v="1"/>
    <x v="1"/>
    <x v="0"/>
    <n v="2148"/>
    <d v="1975-05-05T00:00:00"/>
    <x v="0"/>
    <x v="1"/>
    <x v="0"/>
    <s v="No"/>
    <x v="0"/>
    <d v="2015-03-30T00:00:00"/>
    <d v="2016-06-16T00:00:00"/>
    <x v="1"/>
    <x v="1"/>
    <x v="1"/>
    <x v="1"/>
    <x v="1"/>
    <x v="1"/>
    <x v="1"/>
    <x v="1"/>
    <x v="1"/>
    <d v="2016-02-24T00:00:00"/>
    <n v="0"/>
    <x v="1"/>
    <n v="44"/>
    <x v="1"/>
  </r>
  <r>
    <x v="2"/>
    <n v="10196"/>
    <x v="2"/>
    <x v="2"/>
    <x v="0"/>
    <n v="1810"/>
    <d v="1988-09-19T00:00:00"/>
    <x v="1"/>
    <x v="1"/>
    <x v="0"/>
    <s v="No"/>
    <x v="0"/>
    <d v="2011-05-07T00:00:00"/>
    <d v="2012-09-24T00:00:00"/>
    <x v="2"/>
    <x v="1"/>
    <x v="0"/>
    <x v="2"/>
    <x v="0"/>
    <x v="1"/>
    <x v="2"/>
    <x v="1"/>
    <x v="0"/>
    <d v="2012-05-15T00:00:00"/>
    <n v="0"/>
    <x v="2"/>
    <n v="31"/>
    <x v="0"/>
  </r>
  <r>
    <x v="3"/>
    <n v="10088"/>
    <x v="3"/>
    <x v="0"/>
    <x v="0"/>
    <n v="1886"/>
    <d v="1988-09-27T00:00:00"/>
    <x v="1"/>
    <x v="1"/>
    <x v="0"/>
    <s v="No"/>
    <x v="0"/>
    <d v="2008-07-01T00:00:00"/>
    <d v="1990-01-01T00:00:00"/>
    <x v="0"/>
    <x v="0"/>
    <x v="0"/>
    <x v="3"/>
    <x v="1"/>
    <x v="1"/>
    <x v="3"/>
    <x v="0"/>
    <x v="0"/>
    <d v="2019-03-01T00:00:00"/>
    <n v="0"/>
    <x v="3"/>
    <n v="31"/>
    <x v="0"/>
  </r>
  <r>
    <x v="4"/>
    <n v="10069"/>
    <x v="4"/>
    <x v="0"/>
    <x v="0"/>
    <n v="2169"/>
    <d v="1989-08-09T00:00:00"/>
    <x v="1"/>
    <x v="2"/>
    <x v="0"/>
    <s v="No"/>
    <x v="0"/>
    <d v="2011-11-07T00:00:00"/>
    <d v="2016-06-09T00:00:00"/>
    <x v="3"/>
    <x v="1"/>
    <x v="0"/>
    <x v="4"/>
    <x v="2"/>
    <x v="1"/>
    <x v="4"/>
    <x v="2"/>
    <x v="0"/>
    <d v="2016-01-02T00:00:00"/>
    <n v="0"/>
    <x v="4"/>
    <n v="30"/>
    <x v="0"/>
  </r>
  <r>
    <x v="5"/>
    <n v="10002"/>
    <x v="5"/>
    <x v="0"/>
    <x v="0"/>
    <n v="1844"/>
    <d v="1977-05-22T00:00:00"/>
    <x v="1"/>
    <x v="0"/>
    <x v="0"/>
    <s v="No"/>
    <x v="0"/>
    <d v="2012-09-01T00:00:00"/>
    <d v="1990-01-01T00:00:00"/>
    <x v="0"/>
    <x v="0"/>
    <x v="0"/>
    <x v="5"/>
    <x v="0"/>
    <x v="0"/>
    <x v="4"/>
    <x v="0"/>
    <x v="0"/>
    <d v="2019-07-01T00:00:00"/>
    <n v="0"/>
    <x v="3"/>
    <n v="42"/>
    <x v="1"/>
  </r>
  <r>
    <x v="6"/>
    <n v="10194"/>
    <x v="6"/>
    <x v="3"/>
    <x v="0"/>
    <n v="2110"/>
    <d v="1979-05-24T00:00:00"/>
    <x v="1"/>
    <x v="0"/>
    <x v="0"/>
    <s v="No"/>
    <x v="0"/>
    <d v="2014-10-11T00:00:00"/>
    <d v="1990-01-01T00:00:00"/>
    <x v="0"/>
    <x v="0"/>
    <x v="2"/>
    <x v="6"/>
    <x v="0"/>
    <x v="1"/>
    <x v="5"/>
    <x v="1"/>
    <x v="2"/>
    <d v="2019-02-01T00:00:00"/>
    <n v="0"/>
    <x v="5"/>
    <n v="40"/>
    <x v="1"/>
  </r>
  <r>
    <x v="7"/>
    <n v="10062"/>
    <x v="7"/>
    <x v="0"/>
    <x v="0"/>
    <n v="2199"/>
    <d v="1983-02-18T00:00:00"/>
    <x v="0"/>
    <x v="3"/>
    <x v="0"/>
    <s v="No"/>
    <x v="0"/>
    <d v="2013-09-30T00:00:00"/>
    <d v="1990-01-01T00:00:00"/>
    <x v="0"/>
    <x v="0"/>
    <x v="0"/>
    <x v="7"/>
    <x v="3"/>
    <x v="1"/>
    <x v="4"/>
    <x v="2"/>
    <x v="0"/>
    <d v="2019-02-25T00:00:00"/>
    <n v="0"/>
    <x v="5"/>
    <n v="36"/>
    <x v="0"/>
  </r>
  <r>
    <x v="8"/>
    <n v="10114"/>
    <x v="8"/>
    <x v="0"/>
    <x v="0"/>
    <n v="1902"/>
    <d v="1970-11-02T00:00:00"/>
    <x v="1"/>
    <x v="0"/>
    <x v="0"/>
    <s v="No"/>
    <x v="1"/>
    <d v="2009-06-07T00:00:00"/>
    <d v="1990-01-01T00:00:00"/>
    <x v="0"/>
    <x v="0"/>
    <x v="0"/>
    <x v="8"/>
    <x v="4"/>
    <x v="1"/>
    <x v="6"/>
    <x v="1"/>
    <x v="0"/>
    <d v="2019-01-25T00:00:00"/>
    <n v="0"/>
    <x v="6"/>
    <n v="49"/>
    <x v="1"/>
  </r>
  <r>
    <x v="9"/>
    <n v="10250"/>
    <x v="9"/>
    <x v="4"/>
    <x v="0"/>
    <n v="1886"/>
    <d v="1988-07-01T00:00:00"/>
    <x v="0"/>
    <x v="2"/>
    <x v="0"/>
    <s v="No"/>
    <x v="0"/>
    <d v="2015-05-01T00:00:00"/>
    <d v="1990-01-01T00:00:00"/>
    <x v="0"/>
    <x v="0"/>
    <x v="1"/>
    <x v="9"/>
    <x v="1"/>
    <x v="1"/>
    <x v="4"/>
    <x v="0"/>
    <x v="1"/>
    <d v="2019-02-18T00:00:00"/>
    <n v="0"/>
    <x v="7"/>
    <n v="31"/>
    <x v="0"/>
  </r>
  <r>
    <x v="10"/>
    <n v="10252"/>
    <x v="10"/>
    <x v="0"/>
    <x v="0"/>
    <n v="1902"/>
    <d v="1974-12-01T00:00:00"/>
    <x v="1"/>
    <x v="1"/>
    <x v="0"/>
    <s v="Yes"/>
    <x v="1"/>
    <d v="2011-10-01T00:00:00"/>
    <d v="2017-12-01T00:00:00"/>
    <x v="4"/>
    <x v="1"/>
    <x v="0"/>
    <x v="10"/>
    <x v="4"/>
    <x v="1"/>
    <x v="7"/>
    <x v="2"/>
    <x v="0"/>
    <d v="2016-01-30T00:00:00"/>
    <n v="0"/>
    <x v="8"/>
    <n v="45"/>
    <x v="1"/>
  </r>
  <r>
    <x v="11"/>
    <n v="10242"/>
    <x v="11"/>
    <x v="0"/>
    <x v="0"/>
    <n v="2062"/>
    <d v="1974-02-21T00:00:00"/>
    <x v="0"/>
    <x v="1"/>
    <x v="0"/>
    <s v="Yes"/>
    <x v="1"/>
    <d v="2012-02-04T00:00:00"/>
    <d v="2016-09-19T00:00:00"/>
    <x v="5"/>
    <x v="1"/>
    <x v="0"/>
    <x v="2"/>
    <x v="4"/>
    <x v="1"/>
    <x v="7"/>
    <x v="1"/>
    <x v="0"/>
    <d v="2016-06-05T00:00:00"/>
    <n v="0"/>
    <x v="3"/>
    <n v="45"/>
    <x v="1"/>
  </r>
  <r>
    <x v="12"/>
    <n v="10012"/>
    <x v="12"/>
    <x v="5"/>
    <x v="1"/>
    <n v="78230"/>
    <d v="1988-04-07T00:00:00"/>
    <x v="0"/>
    <x v="2"/>
    <x v="0"/>
    <s v="No"/>
    <x v="1"/>
    <d v="2014-10-11T00:00:00"/>
    <d v="1990-01-01T00:00:00"/>
    <x v="0"/>
    <x v="0"/>
    <x v="1"/>
    <x v="1"/>
    <x v="4"/>
    <x v="0"/>
    <x v="8"/>
    <x v="2"/>
    <x v="3"/>
    <d v="2019-02-25T00:00:00"/>
    <n v="0"/>
    <x v="9"/>
    <n v="31"/>
    <x v="0"/>
  </r>
  <r>
    <x v="13"/>
    <n v="10265"/>
    <x v="13"/>
    <x v="0"/>
    <x v="0"/>
    <n v="1810"/>
    <d v="1983-07-20T00:00:00"/>
    <x v="0"/>
    <x v="0"/>
    <x v="0"/>
    <s v="No"/>
    <x v="2"/>
    <d v="2012-02-20T00:00:00"/>
    <d v="1990-01-01T00:00:00"/>
    <x v="0"/>
    <x v="0"/>
    <x v="0"/>
    <x v="11"/>
    <x v="2"/>
    <x v="1"/>
    <x v="0"/>
    <x v="2"/>
    <x v="0"/>
    <d v="2019-02-14T00:00:00"/>
    <n v="0"/>
    <x v="10"/>
    <n v="36"/>
    <x v="0"/>
  </r>
  <r>
    <x v="14"/>
    <n v="10066"/>
    <x v="14"/>
    <x v="0"/>
    <x v="0"/>
    <n v="2747"/>
    <d v="1977-07-15T00:00:00"/>
    <x v="0"/>
    <x v="2"/>
    <x v="0"/>
    <s v="No"/>
    <x v="0"/>
    <d v="2012-09-24T00:00:00"/>
    <d v="2017-06-04T00:00:00"/>
    <x v="4"/>
    <x v="1"/>
    <x v="0"/>
    <x v="0"/>
    <x v="5"/>
    <x v="1"/>
    <x v="4"/>
    <x v="0"/>
    <x v="0"/>
    <d v="2017-02-03T00:00:00"/>
    <n v="0"/>
    <x v="0"/>
    <n v="42"/>
    <x v="1"/>
  </r>
  <r>
    <x v="15"/>
    <n v="10061"/>
    <x v="15"/>
    <x v="0"/>
    <x v="0"/>
    <n v="2050"/>
    <d v="1981-10-18T00:00:00"/>
    <x v="0"/>
    <x v="0"/>
    <x v="0"/>
    <s v="No"/>
    <x v="0"/>
    <d v="2011-02-21T00:00:00"/>
    <d v="2017-04-08T00:00:00"/>
    <x v="6"/>
    <x v="2"/>
    <x v="0"/>
    <x v="11"/>
    <x v="2"/>
    <x v="1"/>
    <x v="4"/>
    <x v="2"/>
    <x v="0"/>
    <d v="2017-05-04T00:00:00"/>
    <n v="0"/>
    <x v="11"/>
    <n v="38"/>
    <x v="0"/>
  </r>
  <r>
    <x v="16"/>
    <n v="10023"/>
    <x v="16"/>
    <x v="2"/>
    <x v="0"/>
    <n v="2145"/>
    <d v="1966-04-17T00:00:00"/>
    <x v="1"/>
    <x v="1"/>
    <x v="0"/>
    <s v="No"/>
    <x v="0"/>
    <d v="2016-07-21T00:00:00"/>
    <d v="1990-01-01T00:00:00"/>
    <x v="0"/>
    <x v="0"/>
    <x v="0"/>
    <x v="11"/>
    <x v="3"/>
    <x v="0"/>
    <x v="9"/>
    <x v="1"/>
    <x v="0"/>
    <d v="2019-01-14T00:00:00"/>
    <n v="0"/>
    <x v="7"/>
    <n v="53"/>
    <x v="2"/>
  </r>
  <r>
    <x v="17"/>
    <n v="10055"/>
    <x v="17"/>
    <x v="0"/>
    <x v="0"/>
    <n v="1915"/>
    <d v="1970-10-27T00:00:00"/>
    <x v="1"/>
    <x v="0"/>
    <x v="1"/>
    <s v="No"/>
    <x v="0"/>
    <d v="2011-04-04T00:00:00"/>
    <d v="1990-01-01T00:00:00"/>
    <x v="0"/>
    <x v="0"/>
    <x v="0"/>
    <x v="3"/>
    <x v="2"/>
    <x v="1"/>
    <x v="4"/>
    <x v="0"/>
    <x v="0"/>
    <d v="2019-01-14T00:00:00"/>
    <n v="0"/>
    <x v="8"/>
    <n v="49"/>
    <x v="1"/>
  </r>
  <r>
    <x v="18"/>
    <n v="10245"/>
    <x v="18"/>
    <x v="6"/>
    <x v="0"/>
    <n v="2026"/>
    <d v="1986-04-04T00:00:00"/>
    <x v="1"/>
    <x v="0"/>
    <x v="0"/>
    <s v="Yes"/>
    <x v="0"/>
    <d v="2014-07-07T00:00:00"/>
    <d v="2015-12-09T00:00:00"/>
    <x v="7"/>
    <x v="2"/>
    <x v="1"/>
    <x v="1"/>
    <x v="2"/>
    <x v="1"/>
    <x v="10"/>
    <x v="2"/>
    <x v="3"/>
    <d v="2015-01-15T00:00:00"/>
    <n v="0"/>
    <x v="12"/>
    <n v="33"/>
    <x v="0"/>
  </r>
  <r>
    <x v="19"/>
    <n v="10277"/>
    <x v="19"/>
    <x v="0"/>
    <x v="0"/>
    <n v="2452"/>
    <d v="1979-06-04T00:00:00"/>
    <x v="0"/>
    <x v="0"/>
    <x v="0"/>
    <s v="No"/>
    <x v="3"/>
    <d v="2013-08-07T00:00:00"/>
    <d v="1990-01-01T00:00:00"/>
    <x v="0"/>
    <x v="0"/>
    <x v="0"/>
    <x v="4"/>
    <x v="0"/>
    <x v="1"/>
    <x v="7"/>
    <x v="2"/>
    <x v="0"/>
    <d v="2019-11-01T00:00:00"/>
    <n v="0"/>
    <x v="13"/>
    <n v="40"/>
    <x v="1"/>
  </r>
  <r>
    <x v="20"/>
    <n v="10046"/>
    <x v="20"/>
    <x v="0"/>
    <x v="0"/>
    <n v="2072"/>
    <d v="1970-12-22T00:00:00"/>
    <x v="0"/>
    <x v="0"/>
    <x v="0"/>
    <s v="Yes"/>
    <x v="0"/>
    <d v="2012-02-04T00:00:00"/>
    <d v="1990-01-01T00:00:00"/>
    <x v="0"/>
    <x v="0"/>
    <x v="0"/>
    <x v="5"/>
    <x v="2"/>
    <x v="1"/>
    <x v="4"/>
    <x v="1"/>
    <x v="0"/>
    <d v="2019-01-14T00:00:00"/>
    <n v="0"/>
    <x v="13"/>
    <n v="49"/>
    <x v="1"/>
  </r>
  <r>
    <x v="21"/>
    <n v="10226"/>
    <x v="21"/>
    <x v="0"/>
    <x v="0"/>
    <n v="2027"/>
    <d v="1958-12-27T00:00:00"/>
    <x v="1"/>
    <x v="2"/>
    <x v="0"/>
    <s v="No"/>
    <x v="3"/>
    <d v="2013-08-19T00:00:00"/>
    <d v="1990-01-01T00:00:00"/>
    <x v="0"/>
    <x v="0"/>
    <x v="0"/>
    <x v="7"/>
    <x v="1"/>
    <x v="1"/>
    <x v="7"/>
    <x v="1"/>
    <x v="0"/>
    <d v="2019-10-01T00:00:00"/>
    <n v="0"/>
    <x v="4"/>
    <n v="61"/>
    <x v="3"/>
  </r>
  <r>
    <x v="22"/>
    <n v="10003"/>
    <x v="22"/>
    <x v="0"/>
    <x v="0"/>
    <n v="2031"/>
    <d v="1989-01-09T00:00:00"/>
    <x v="1"/>
    <x v="1"/>
    <x v="0"/>
    <s v="No"/>
    <x v="0"/>
    <d v="2014-07-07T00:00:00"/>
    <d v="1990-01-01T00:00:00"/>
    <x v="0"/>
    <x v="0"/>
    <x v="0"/>
    <x v="8"/>
    <x v="1"/>
    <x v="0"/>
    <x v="4"/>
    <x v="1"/>
    <x v="0"/>
    <d v="2019-02-27T00:00:00"/>
    <n v="0"/>
    <x v="5"/>
    <n v="30"/>
    <x v="0"/>
  </r>
  <r>
    <x v="23"/>
    <n v="10294"/>
    <x v="23"/>
    <x v="2"/>
    <x v="0"/>
    <n v="2171"/>
    <d v="1990-09-21T00:00:00"/>
    <x v="1"/>
    <x v="0"/>
    <x v="0"/>
    <s v="No"/>
    <x v="0"/>
    <d v="2011-04-04T00:00:00"/>
    <d v="1990-01-01T00:00:00"/>
    <x v="0"/>
    <x v="0"/>
    <x v="0"/>
    <x v="0"/>
    <x v="6"/>
    <x v="2"/>
    <x v="11"/>
    <x v="1"/>
    <x v="0"/>
    <d v="2019-02-27T00:00:00"/>
    <n v="2"/>
    <x v="2"/>
    <n v="29"/>
    <x v="4"/>
  </r>
  <r>
    <x v="24"/>
    <n v="10267"/>
    <x v="24"/>
    <x v="2"/>
    <x v="0"/>
    <n v="2210"/>
    <d v="1967-01-16T00:00:00"/>
    <x v="1"/>
    <x v="0"/>
    <x v="0"/>
    <s v="No"/>
    <x v="0"/>
    <d v="2011-10-01T00:00:00"/>
    <d v="2014-04-04T00:00:00"/>
    <x v="1"/>
    <x v="1"/>
    <x v="0"/>
    <x v="3"/>
    <x v="2"/>
    <x v="1"/>
    <x v="12"/>
    <x v="0"/>
    <x v="0"/>
    <d v="2014-04-03T00:00:00"/>
    <n v="0"/>
    <x v="14"/>
    <n v="52"/>
    <x v="2"/>
  </r>
  <r>
    <x v="25"/>
    <n v="10199"/>
    <x v="25"/>
    <x v="7"/>
    <x v="2"/>
    <n v="6033"/>
    <d v="1964-07-30T00:00:00"/>
    <x v="0"/>
    <x v="0"/>
    <x v="0"/>
    <s v="No"/>
    <x v="1"/>
    <d v="2014-02-17T00:00:00"/>
    <d v="2016-02-19T00:00:00"/>
    <x v="8"/>
    <x v="2"/>
    <x v="1"/>
    <x v="1"/>
    <x v="0"/>
    <x v="1"/>
    <x v="13"/>
    <x v="0"/>
    <x v="4"/>
    <d v="2016-10-01T00:00:00"/>
    <n v="0"/>
    <x v="4"/>
    <n v="55"/>
    <x v="2"/>
  </r>
  <r>
    <x v="26"/>
    <n v="10081"/>
    <x v="26"/>
    <x v="8"/>
    <x v="0"/>
    <n v="2468"/>
    <d v="1987-04-04T00:00:00"/>
    <x v="1"/>
    <x v="1"/>
    <x v="0"/>
    <s v="No"/>
    <x v="1"/>
    <d v="2015-02-16T00:00:00"/>
    <d v="1990-01-01T00:00:00"/>
    <x v="0"/>
    <x v="0"/>
    <x v="3"/>
    <x v="12"/>
    <x v="4"/>
    <x v="1"/>
    <x v="4"/>
    <x v="2"/>
    <x v="5"/>
    <d v="2019-02-18T00:00:00"/>
    <n v="0"/>
    <x v="6"/>
    <n v="32"/>
    <x v="0"/>
  </r>
  <r>
    <x v="27"/>
    <n v="10175"/>
    <x v="27"/>
    <x v="9"/>
    <x v="0"/>
    <n v="1901"/>
    <d v="1970-10-03T00:00:00"/>
    <x v="0"/>
    <x v="0"/>
    <x v="0"/>
    <s v="No"/>
    <x v="3"/>
    <d v="2013-09-30T00:00:00"/>
    <d v="2014-07-08T00:00:00"/>
    <x v="9"/>
    <x v="1"/>
    <x v="0"/>
    <x v="13"/>
    <x v="1"/>
    <x v="1"/>
    <x v="14"/>
    <x v="1"/>
    <x v="0"/>
    <d v="2014-02-20T00:00:00"/>
    <n v="0"/>
    <x v="15"/>
    <n v="49"/>
    <x v="1"/>
  </r>
  <r>
    <x v="28"/>
    <n v="10177"/>
    <x v="28"/>
    <x v="0"/>
    <x v="0"/>
    <n v="1701"/>
    <d v="1990-08-24T00:00:00"/>
    <x v="1"/>
    <x v="1"/>
    <x v="0"/>
    <s v="No"/>
    <x v="0"/>
    <d v="2012-02-04T00:00:00"/>
    <d v="2013-06-15T00:00:00"/>
    <x v="4"/>
    <x v="1"/>
    <x v="0"/>
    <x v="10"/>
    <x v="2"/>
    <x v="1"/>
    <x v="15"/>
    <x v="2"/>
    <x v="0"/>
    <d v="2013-04-03T00:00:00"/>
    <n v="0"/>
    <x v="16"/>
    <n v="29"/>
    <x v="4"/>
  </r>
  <r>
    <x v="29"/>
    <n v="10238"/>
    <x v="29"/>
    <x v="10"/>
    <x v="0"/>
    <n v="1450"/>
    <d v="1987-11-24T00:00:00"/>
    <x v="1"/>
    <x v="1"/>
    <x v="0"/>
    <s v="No"/>
    <x v="1"/>
    <d v="2008-10-27T00:00:00"/>
    <d v="1990-01-01T00:00:00"/>
    <x v="0"/>
    <x v="0"/>
    <x v="3"/>
    <x v="12"/>
    <x v="4"/>
    <x v="1"/>
    <x v="10"/>
    <x v="3"/>
    <x v="1"/>
    <d v="2019-01-15T00:00:00"/>
    <n v="0"/>
    <x v="15"/>
    <n v="32"/>
    <x v="0"/>
  </r>
  <r>
    <x v="30"/>
    <n v="10184"/>
    <x v="30"/>
    <x v="2"/>
    <x v="0"/>
    <n v="1013"/>
    <d v="1983-07-28T00:00:00"/>
    <x v="0"/>
    <x v="0"/>
    <x v="0"/>
    <s v="No"/>
    <x v="0"/>
    <d v="2014-09-29T00:00:00"/>
    <d v="1990-01-01T00:00:00"/>
    <x v="0"/>
    <x v="0"/>
    <x v="0"/>
    <x v="4"/>
    <x v="2"/>
    <x v="1"/>
    <x v="16"/>
    <x v="1"/>
    <x v="0"/>
    <d v="2019-01-02T00:00:00"/>
    <n v="0"/>
    <x v="9"/>
    <n v="36"/>
    <x v="0"/>
  </r>
  <r>
    <x v="31"/>
    <n v="10203"/>
    <x v="31"/>
    <x v="0"/>
    <x v="0"/>
    <n v="2043"/>
    <d v="1969-10-30T00:00:00"/>
    <x v="1"/>
    <x v="4"/>
    <x v="0"/>
    <s v="No"/>
    <x v="1"/>
    <d v="2013-11-11T00:00:00"/>
    <d v="1990-01-01T00:00:00"/>
    <x v="0"/>
    <x v="0"/>
    <x v="0"/>
    <x v="2"/>
    <x v="4"/>
    <x v="1"/>
    <x v="13"/>
    <x v="0"/>
    <x v="0"/>
    <d v="2019-01-21T00:00:00"/>
    <n v="0"/>
    <x v="1"/>
    <n v="50"/>
    <x v="2"/>
  </r>
  <r>
    <x v="32"/>
    <n v="10188"/>
    <x v="32"/>
    <x v="11"/>
    <x v="3"/>
    <n v="21851"/>
    <d v="1964-01-06T00:00:00"/>
    <x v="1"/>
    <x v="1"/>
    <x v="1"/>
    <s v="No"/>
    <x v="1"/>
    <d v="2011-08-15T00:00:00"/>
    <d v="2014-02-08T00:00:00"/>
    <x v="4"/>
    <x v="1"/>
    <x v="4"/>
    <x v="14"/>
    <x v="2"/>
    <x v="1"/>
    <x v="17"/>
    <x v="0"/>
    <x v="0"/>
    <d v="2013-10-02T00:00:00"/>
    <n v="1"/>
    <x v="5"/>
    <n v="55"/>
    <x v="2"/>
  </r>
  <r>
    <x v="33"/>
    <n v="10107"/>
    <x v="33"/>
    <x v="2"/>
    <x v="0"/>
    <n v="2148"/>
    <d v="1980-02-03T00:00:00"/>
    <x v="1"/>
    <x v="0"/>
    <x v="0"/>
    <s v="No"/>
    <x v="1"/>
    <d v="2012-05-03T00:00:00"/>
    <d v="1990-01-01T00:00:00"/>
    <x v="0"/>
    <x v="0"/>
    <x v="0"/>
    <x v="5"/>
    <x v="3"/>
    <x v="1"/>
    <x v="18"/>
    <x v="2"/>
    <x v="0"/>
    <d v="2019-02-21T00:00:00"/>
    <n v="0"/>
    <x v="2"/>
    <n v="39"/>
    <x v="0"/>
  </r>
  <r>
    <x v="34"/>
    <n v="10181"/>
    <x v="34"/>
    <x v="2"/>
    <x v="0"/>
    <n v="1890"/>
    <d v="1977-08-19T00:00:00"/>
    <x v="0"/>
    <x v="1"/>
    <x v="0"/>
    <s v="No"/>
    <x v="0"/>
    <d v="2011-04-04T00:00:00"/>
    <d v="1990-01-01T00:00:00"/>
    <x v="0"/>
    <x v="0"/>
    <x v="0"/>
    <x v="7"/>
    <x v="1"/>
    <x v="1"/>
    <x v="19"/>
    <x v="0"/>
    <x v="0"/>
    <d v="2019-01-14T00:00:00"/>
    <n v="0"/>
    <x v="3"/>
    <n v="42"/>
    <x v="1"/>
  </r>
  <r>
    <x v="35"/>
    <n v="10150"/>
    <x v="35"/>
    <x v="12"/>
    <x v="0"/>
    <n v="2184"/>
    <d v="1966-11-22T00:00:00"/>
    <x v="0"/>
    <x v="0"/>
    <x v="0"/>
    <s v="No"/>
    <x v="0"/>
    <d v="2011-08-15T00:00:00"/>
    <d v="1990-01-01T00:00:00"/>
    <x v="0"/>
    <x v="0"/>
    <x v="2"/>
    <x v="15"/>
    <x v="2"/>
    <x v="1"/>
    <x v="20"/>
    <x v="1"/>
    <x v="3"/>
    <d v="2019-01-21T00:00:00"/>
    <n v="0"/>
    <x v="6"/>
    <n v="53"/>
    <x v="2"/>
  </r>
  <r>
    <x v="36"/>
    <n v="10001"/>
    <x v="36"/>
    <x v="9"/>
    <x v="0"/>
    <n v="2169"/>
    <d v="1983-09-08T00:00:00"/>
    <x v="0"/>
    <x v="0"/>
    <x v="0"/>
    <s v="No"/>
    <x v="0"/>
    <d v="2016-01-28T00:00:00"/>
    <d v="1990-01-01T00:00:00"/>
    <x v="0"/>
    <x v="0"/>
    <x v="0"/>
    <x v="13"/>
    <x v="1"/>
    <x v="0"/>
    <x v="4"/>
    <x v="1"/>
    <x v="0"/>
    <d v="2019-02-22T00:00:00"/>
    <n v="0"/>
    <x v="15"/>
    <n v="36"/>
    <x v="0"/>
  </r>
  <r>
    <x v="37"/>
    <n v="10085"/>
    <x v="37"/>
    <x v="3"/>
    <x v="0"/>
    <n v="2132"/>
    <d v="1987-05-04T00:00:00"/>
    <x v="1"/>
    <x v="0"/>
    <x v="0"/>
    <s v="No"/>
    <x v="0"/>
    <d v="2013-11-11T00:00:00"/>
    <d v="1990-01-01T00:00:00"/>
    <x v="0"/>
    <x v="0"/>
    <x v="2"/>
    <x v="6"/>
    <x v="1"/>
    <x v="1"/>
    <x v="1"/>
    <x v="2"/>
    <x v="1"/>
    <d v="2019-01-30T00:00:00"/>
    <n v="0"/>
    <x v="2"/>
    <n v="32"/>
    <x v="0"/>
  </r>
  <r>
    <x v="38"/>
    <n v="10115"/>
    <x v="38"/>
    <x v="0"/>
    <x v="0"/>
    <n v="1701"/>
    <d v="1983-02-02T00:00:00"/>
    <x v="0"/>
    <x v="0"/>
    <x v="0"/>
    <s v="No"/>
    <x v="1"/>
    <d v="2014-03-31T00:00:00"/>
    <d v="1990-01-01T00:00:00"/>
    <x v="0"/>
    <x v="0"/>
    <x v="0"/>
    <x v="11"/>
    <x v="0"/>
    <x v="1"/>
    <x v="21"/>
    <x v="1"/>
    <x v="0"/>
    <d v="2019-01-02T00:00:00"/>
    <n v="0"/>
    <x v="15"/>
    <n v="36"/>
    <x v="0"/>
  </r>
  <r>
    <x v="39"/>
    <n v="10082"/>
    <x v="39"/>
    <x v="1"/>
    <x v="0"/>
    <n v="1886"/>
    <d v="1986-06-06T00:00:00"/>
    <x v="1"/>
    <x v="0"/>
    <x v="0"/>
    <s v="No"/>
    <x v="1"/>
    <d v="2016-06-30T00:00:00"/>
    <d v="1990-01-01T00:00:00"/>
    <x v="0"/>
    <x v="0"/>
    <x v="1"/>
    <x v="1"/>
    <x v="0"/>
    <x v="1"/>
    <x v="4"/>
    <x v="0"/>
    <x v="1"/>
    <d v="2019-02-18T00:00:00"/>
    <n v="0"/>
    <x v="10"/>
    <n v="33"/>
    <x v="0"/>
  </r>
  <r>
    <x v="40"/>
    <n v="10040"/>
    <x v="40"/>
    <x v="11"/>
    <x v="4"/>
    <n v="5664"/>
    <d v="1963-05-15T00:00:00"/>
    <x v="1"/>
    <x v="0"/>
    <x v="0"/>
    <s v="No"/>
    <x v="0"/>
    <d v="2014-08-18T00:00:00"/>
    <d v="1990-01-01T00:00:00"/>
    <x v="0"/>
    <x v="0"/>
    <x v="4"/>
    <x v="14"/>
    <x v="1"/>
    <x v="1"/>
    <x v="4"/>
    <x v="0"/>
    <x v="0"/>
    <d v="2019-01-21T00:00:00"/>
    <n v="0"/>
    <x v="10"/>
    <n v="56"/>
    <x v="2"/>
  </r>
  <r>
    <x v="41"/>
    <n v="10067"/>
    <x v="41"/>
    <x v="0"/>
    <x v="0"/>
    <n v="2763"/>
    <d v="1951-02-01T00:00:00"/>
    <x v="1"/>
    <x v="0"/>
    <x v="0"/>
    <s v="No"/>
    <x v="0"/>
    <d v="2014-09-29T00:00:00"/>
    <d v="1990-01-01T00:00:00"/>
    <x v="0"/>
    <x v="0"/>
    <x v="0"/>
    <x v="0"/>
    <x v="2"/>
    <x v="1"/>
    <x v="4"/>
    <x v="2"/>
    <x v="0"/>
    <d v="2019-12-02T00:00:00"/>
    <n v="0"/>
    <x v="17"/>
    <n v="68"/>
    <x v="3"/>
  </r>
  <r>
    <x v="42"/>
    <n v="10108"/>
    <x v="42"/>
    <x v="13"/>
    <x v="0"/>
    <n v="2045"/>
    <d v="1972-09-02T00:00:00"/>
    <x v="0"/>
    <x v="1"/>
    <x v="0"/>
    <s v="No"/>
    <x v="0"/>
    <d v="2016-06-09T00:00:00"/>
    <d v="1990-01-01T00:00:00"/>
    <x v="0"/>
    <x v="0"/>
    <x v="1"/>
    <x v="15"/>
    <x v="1"/>
    <x v="1"/>
    <x v="10"/>
    <x v="0"/>
    <x v="4"/>
    <d v="2019-01-15T00:00:00"/>
    <n v="0"/>
    <x v="12"/>
    <n v="47"/>
    <x v="1"/>
  </r>
  <r>
    <x v="43"/>
    <n v="10210"/>
    <x v="43"/>
    <x v="0"/>
    <x v="0"/>
    <n v="2170"/>
    <d v="1979-12-02T00:00:00"/>
    <x v="1"/>
    <x v="0"/>
    <x v="0"/>
    <s v="No"/>
    <x v="0"/>
    <d v="2014-12-05T00:00:00"/>
    <d v="1990-01-01T00:00:00"/>
    <x v="0"/>
    <x v="0"/>
    <x v="0"/>
    <x v="3"/>
    <x v="1"/>
    <x v="1"/>
    <x v="22"/>
    <x v="2"/>
    <x v="0"/>
    <d v="2019-02-19T00:00:00"/>
    <n v="0"/>
    <x v="17"/>
    <n v="40"/>
    <x v="1"/>
  </r>
  <r>
    <x v="44"/>
    <n v="10154"/>
    <x v="44"/>
    <x v="0"/>
    <x v="0"/>
    <n v="1845"/>
    <d v="1983-08-24T00:00:00"/>
    <x v="0"/>
    <x v="0"/>
    <x v="0"/>
    <s v="No"/>
    <x v="0"/>
    <d v="2013-08-07T00:00:00"/>
    <d v="1990-01-01T00:00:00"/>
    <x v="0"/>
    <x v="0"/>
    <x v="0"/>
    <x v="4"/>
    <x v="0"/>
    <x v="1"/>
    <x v="23"/>
    <x v="0"/>
    <x v="0"/>
    <d v="2019-01-14T00:00:00"/>
    <n v="0"/>
    <x v="6"/>
    <n v="36"/>
    <x v="0"/>
  </r>
  <r>
    <x v="45"/>
    <n v="10200"/>
    <x v="45"/>
    <x v="11"/>
    <x v="1"/>
    <n v="78207"/>
    <d v="1970-11-06T00:00:00"/>
    <x v="0"/>
    <x v="0"/>
    <x v="1"/>
    <s v="No"/>
    <x v="1"/>
    <d v="2012-05-14T00:00:00"/>
    <d v="1990-01-01T00:00:00"/>
    <x v="0"/>
    <x v="0"/>
    <x v="4"/>
    <x v="16"/>
    <x v="3"/>
    <x v="1"/>
    <x v="24"/>
    <x v="0"/>
    <x v="0"/>
    <d v="2019-01-19T00:00:00"/>
    <n v="0"/>
    <x v="1"/>
    <n v="49"/>
    <x v="1"/>
  </r>
  <r>
    <x v="46"/>
    <n v="10240"/>
    <x v="46"/>
    <x v="0"/>
    <x v="0"/>
    <n v="1775"/>
    <d v="1983-08-27T00:00:00"/>
    <x v="1"/>
    <x v="0"/>
    <x v="0"/>
    <s v="No"/>
    <x v="0"/>
    <d v="2011-06-27T00:00:00"/>
    <d v="2015-11-15T00:00:00"/>
    <x v="10"/>
    <x v="1"/>
    <x v="0"/>
    <x v="5"/>
    <x v="1"/>
    <x v="1"/>
    <x v="25"/>
    <x v="2"/>
    <x v="0"/>
    <d v="2015-10-03T00:00:00"/>
    <n v="0"/>
    <x v="2"/>
    <n v="36"/>
    <x v="0"/>
  </r>
  <r>
    <x v="47"/>
    <n v="10168"/>
    <x v="47"/>
    <x v="0"/>
    <x v="0"/>
    <n v="2044"/>
    <d v="1988-05-31T00:00:00"/>
    <x v="1"/>
    <x v="0"/>
    <x v="2"/>
    <s v="No"/>
    <x v="1"/>
    <d v="2011-03-10T00:00:00"/>
    <d v="1990-01-01T00:00:00"/>
    <x v="0"/>
    <x v="0"/>
    <x v="0"/>
    <x v="7"/>
    <x v="1"/>
    <x v="1"/>
    <x v="26"/>
    <x v="0"/>
    <x v="0"/>
    <d v="2019-01-30T00:00:00"/>
    <n v="0"/>
    <x v="2"/>
    <n v="31"/>
    <x v="0"/>
  </r>
  <r>
    <x v="48"/>
    <n v="10220"/>
    <x v="48"/>
    <x v="4"/>
    <x v="0"/>
    <n v="2170"/>
    <d v="1985-05-09T00:00:00"/>
    <x v="0"/>
    <x v="0"/>
    <x v="0"/>
    <s v="No"/>
    <x v="0"/>
    <d v="2012-05-09T00:00:00"/>
    <d v="1990-01-01T00:00:00"/>
    <x v="0"/>
    <x v="0"/>
    <x v="1"/>
    <x v="17"/>
    <x v="1"/>
    <x v="1"/>
    <x v="27"/>
    <x v="1"/>
    <x v="1"/>
    <d v="2019-02-27T00:00:00"/>
    <n v="0"/>
    <x v="4"/>
    <n v="34"/>
    <x v="0"/>
  </r>
  <r>
    <x v="49"/>
    <n v="10275"/>
    <x v="49"/>
    <x v="2"/>
    <x v="0"/>
    <n v="1752"/>
    <d v="1981-08-31T00:00:00"/>
    <x v="1"/>
    <x v="1"/>
    <x v="0"/>
    <s v="No"/>
    <x v="0"/>
    <d v="2011-05-16T00:00:00"/>
    <d v="2013-07-01T00:00:00"/>
    <x v="5"/>
    <x v="1"/>
    <x v="0"/>
    <x v="8"/>
    <x v="2"/>
    <x v="1"/>
    <x v="7"/>
    <x v="0"/>
    <x v="0"/>
    <d v="2012-03-05T00:00:00"/>
    <n v="0"/>
    <x v="9"/>
    <n v="38"/>
    <x v="0"/>
  </r>
  <r>
    <x v="50"/>
    <n v="10269"/>
    <x v="50"/>
    <x v="2"/>
    <x v="0"/>
    <n v="2169"/>
    <d v="1978-11-25T00:00:00"/>
    <x v="0"/>
    <x v="1"/>
    <x v="0"/>
    <s v="No"/>
    <x v="0"/>
    <d v="2010-08-30T00:00:00"/>
    <d v="2011-09-26T00:00:00"/>
    <x v="1"/>
    <x v="1"/>
    <x v="0"/>
    <x v="10"/>
    <x v="1"/>
    <x v="1"/>
    <x v="7"/>
    <x v="2"/>
    <x v="0"/>
    <d v="2011-04-05T00:00:00"/>
    <n v="0"/>
    <x v="16"/>
    <n v="41"/>
    <x v="1"/>
  </r>
  <r>
    <x v="51"/>
    <n v="10029"/>
    <x v="51"/>
    <x v="0"/>
    <x v="0"/>
    <n v="2134"/>
    <d v="1980-08-26T00:00:00"/>
    <x v="0"/>
    <x v="1"/>
    <x v="0"/>
    <s v="No"/>
    <x v="0"/>
    <d v="2016-06-07T00:00:00"/>
    <d v="1990-01-01T00:00:00"/>
    <x v="0"/>
    <x v="0"/>
    <x v="0"/>
    <x v="8"/>
    <x v="3"/>
    <x v="0"/>
    <x v="28"/>
    <x v="2"/>
    <x v="0"/>
    <d v="2019-02-28T00:00:00"/>
    <n v="0"/>
    <x v="14"/>
    <n v="39"/>
    <x v="0"/>
  </r>
  <r>
    <x v="52"/>
    <n v="10261"/>
    <x v="52"/>
    <x v="0"/>
    <x v="0"/>
    <n v="2452"/>
    <d v="1977-08-09T00:00:00"/>
    <x v="0"/>
    <x v="0"/>
    <x v="0"/>
    <s v="No"/>
    <x v="0"/>
    <d v="2013-08-07T00:00:00"/>
    <d v="1990-01-01T00:00:00"/>
    <x v="0"/>
    <x v="0"/>
    <x v="0"/>
    <x v="10"/>
    <x v="3"/>
    <x v="1"/>
    <x v="9"/>
    <x v="0"/>
    <x v="0"/>
    <d v="2019-01-14T00:00:00"/>
    <n v="0"/>
    <x v="2"/>
    <n v="42"/>
    <x v="1"/>
  </r>
  <r>
    <x v="53"/>
    <n v="10292"/>
    <x v="53"/>
    <x v="0"/>
    <x v="0"/>
    <n v="1880"/>
    <d v="1979-12-08T00:00:00"/>
    <x v="0"/>
    <x v="0"/>
    <x v="0"/>
    <s v="No"/>
    <x v="1"/>
    <d v="2011-11-07T00:00:00"/>
    <d v="2016-09-23T00:00:00"/>
    <x v="7"/>
    <x v="2"/>
    <x v="0"/>
    <x v="2"/>
    <x v="0"/>
    <x v="2"/>
    <x v="11"/>
    <x v="1"/>
    <x v="0"/>
    <d v="2016-01-05T00:00:00"/>
    <n v="5"/>
    <x v="7"/>
    <n v="40"/>
    <x v="1"/>
  </r>
  <r>
    <x v="54"/>
    <n v="10282"/>
    <x v="54"/>
    <x v="9"/>
    <x v="0"/>
    <n v="1803"/>
    <d v="1975-12-17T00:00:00"/>
    <x v="0"/>
    <x v="2"/>
    <x v="0"/>
    <s v="No"/>
    <x v="0"/>
    <d v="2010-07-20T00:00:00"/>
    <d v="1990-01-01T00:00:00"/>
    <x v="0"/>
    <x v="0"/>
    <x v="0"/>
    <x v="13"/>
    <x v="6"/>
    <x v="2"/>
    <x v="29"/>
    <x v="3"/>
    <x v="0"/>
    <d v="2019-01-14T00:00:00"/>
    <n v="3"/>
    <x v="2"/>
    <n v="44"/>
    <x v="1"/>
  </r>
  <r>
    <x v="55"/>
    <n v="10019"/>
    <x v="55"/>
    <x v="14"/>
    <x v="0"/>
    <n v="2030"/>
    <d v="1983-03-19T00:00:00"/>
    <x v="0"/>
    <x v="0"/>
    <x v="0"/>
    <s v="No"/>
    <x v="1"/>
    <d v="2009-05-01T00:00:00"/>
    <d v="1990-01-01T00:00:00"/>
    <x v="0"/>
    <x v="0"/>
    <x v="0"/>
    <x v="13"/>
    <x v="1"/>
    <x v="0"/>
    <x v="30"/>
    <x v="0"/>
    <x v="0"/>
    <d v="2019-04-02T00:00:00"/>
    <n v="0"/>
    <x v="3"/>
    <n v="36"/>
    <x v="0"/>
  </r>
  <r>
    <x v="56"/>
    <n v="10094"/>
    <x v="56"/>
    <x v="0"/>
    <x v="0"/>
    <n v="2189"/>
    <d v="1977-03-31T00:00:00"/>
    <x v="1"/>
    <x v="1"/>
    <x v="0"/>
    <s v="Yes"/>
    <x v="0"/>
    <d v="2015-05-01T00:00:00"/>
    <d v="1990-01-01T00:00:00"/>
    <x v="0"/>
    <x v="0"/>
    <x v="0"/>
    <x v="11"/>
    <x v="1"/>
    <x v="1"/>
    <x v="31"/>
    <x v="0"/>
    <x v="0"/>
    <d v="2019-02-14T00:00:00"/>
    <n v="0"/>
    <x v="16"/>
    <n v="42"/>
    <x v="1"/>
  </r>
  <r>
    <x v="57"/>
    <n v="10193"/>
    <x v="57"/>
    <x v="5"/>
    <x v="0"/>
    <n v="1810"/>
    <d v="1986-08-26T00:00:00"/>
    <x v="0"/>
    <x v="1"/>
    <x v="0"/>
    <s v="No"/>
    <x v="0"/>
    <d v="2015-03-30T00:00:00"/>
    <d v="1990-01-01T00:00:00"/>
    <x v="0"/>
    <x v="0"/>
    <x v="1"/>
    <x v="1"/>
    <x v="1"/>
    <x v="1"/>
    <x v="5"/>
    <x v="1"/>
    <x v="1"/>
    <d v="2019-01-22T00:00:00"/>
    <n v="0"/>
    <x v="4"/>
    <n v="33"/>
    <x v="0"/>
  </r>
  <r>
    <x v="58"/>
    <n v="10132"/>
    <x v="58"/>
    <x v="0"/>
    <x v="0"/>
    <n v="1821"/>
    <d v="1987-10-04T00:00:00"/>
    <x v="1"/>
    <x v="0"/>
    <x v="0"/>
    <s v="No"/>
    <x v="0"/>
    <d v="2016-06-07T00:00:00"/>
    <d v="1990-01-01T00:00:00"/>
    <x v="0"/>
    <x v="0"/>
    <x v="0"/>
    <x v="0"/>
    <x v="0"/>
    <x v="1"/>
    <x v="32"/>
    <x v="0"/>
    <x v="0"/>
    <d v="2019-01-28T00:00:00"/>
    <n v="0"/>
    <x v="3"/>
    <n v="32"/>
    <x v="0"/>
  </r>
  <r>
    <x v="59"/>
    <n v="10083"/>
    <x v="59"/>
    <x v="15"/>
    <x v="2"/>
    <n v="6278"/>
    <d v="1965-09-09T00:00:00"/>
    <x v="0"/>
    <x v="0"/>
    <x v="0"/>
    <s v="No"/>
    <x v="0"/>
    <d v="2014-10-11T00:00:00"/>
    <d v="1990-01-01T00:00:00"/>
    <x v="0"/>
    <x v="0"/>
    <x v="1"/>
    <x v="9"/>
    <x v="3"/>
    <x v="1"/>
    <x v="4"/>
    <x v="1"/>
    <x v="2"/>
    <d v="2019-02-01T00:00:00"/>
    <n v="0"/>
    <x v="14"/>
    <n v="54"/>
    <x v="2"/>
  </r>
  <r>
    <x v="60"/>
    <n v="10099"/>
    <x v="60"/>
    <x v="16"/>
    <x v="4"/>
    <n v="5473"/>
    <d v="1990-04-19T00:00:00"/>
    <x v="1"/>
    <x v="0"/>
    <x v="0"/>
    <s v="No"/>
    <x v="0"/>
    <d v="2014-05-05T00:00:00"/>
    <d v="1990-01-01T00:00:00"/>
    <x v="0"/>
    <x v="0"/>
    <x v="4"/>
    <x v="18"/>
    <x v="1"/>
    <x v="1"/>
    <x v="33"/>
    <x v="2"/>
    <x v="0"/>
    <d v="2019-01-24T00:00:00"/>
    <n v="0"/>
    <x v="12"/>
    <n v="29"/>
    <x v="4"/>
  </r>
  <r>
    <x v="61"/>
    <n v="10212"/>
    <x v="61"/>
    <x v="15"/>
    <x v="2"/>
    <n v="6033"/>
    <d v="1952-01-18T00:00:00"/>
    <x v="1"/>
    <x v="1"/>
    <x v="0"/>
    <s v="No"/>
    <x v="0"/>
    <d v="2014-10-11T00:00:00"/>
    <d v="1990-01-01T00:00:00"/>
    <x v="0"/>
    <x v="0"/>
    <x v="1"/>
    <x v="9"/>
    <x v="0"/>
    <x v="1"/>
    <x v="34"/>
    <x v="0"/>
    <x v="6"/>
    <d v="2019-12-02T00:00:00"/>
    <n v="0"/>
    <x v="5"/>
    <n v="67"/>
    <x v="3"/>
  </r>
  <r>
    <x v="62"/>
    <n v="10056"/>
    <x v="62"/>
    <x v="0"/>
    <x v="0"/>
    <n v="2110"/>
    <d v="1978-05-11T00:00:00"/>
    <x v="1"/>
    <x v="1"/>
    <x v="0"/>
    <s v="No"/>
    <x v="0"/>
    <d v="2012-02-07T00:00:00"/>
    <d v="1990-01-01T00:00:00"/>
    <x v="0"/>
    <x v="0"/>
    <x v="0"/>
    <x v="3"/>
    <x v="1"/>
    <x v="1"/>
    <x v="4"/>
    <x v="1"/>
    <x v="0"/>
    <d v="2019-02-25T00:00:00"/>
    <n v="0"/>
    <x v="0"/>
    <n v="41"/>
    <x v="1"/>
  </r>
  <r>
    <x v="63"/>
    <n v="10143"/>
    <x v="63"/>
    <x v="2"/>
    <x v="0"/>
    <n v="2458"/>
    <d v="1979-09-14T00:00:00"/>
    <x v="0"/>
    <x v="0"/>
    <x v="1"/>
    <s v="No"/>
    <x v="2"/>
    <d v="2011-07-11T00:00:00"/>
    <d v="1990-01-01T00:00:00"/>
    <x v="0"/>
    <x v="0"/>
    <x v="0"/>
    <x v="2"/>
    <x v="0"/>
    <x v="1"/>
    <x v="35"/>
    <x v="2"/>
    <x v="0"/>
    <d v="2019-02-27T00:00:00"/>
    <n v="0"/>
    <x v="16"/>
    <n v="40"/>
    <x v="1"/>
  </r>
  <r>
    <x v="64"/>
    <n v="10311"/>
    <x v="64"/>
    <x v="0"/>
    <x v="0"/>
    <n v="2138"/>
    <d v="1988-04-15T00:00:00"/>
    <x v="0"/>
    <x v="1"/>
    <x v="0"/>
    <s v="No"/>
    <x v="0"/>
    <d v="2018-09-07T00:00:00"/>
    <d v="1990-01-01T00:00:00"/>
    <x v="0"/>
    <x v="0"/>
    <x v="0"/>
    <x v="8"/>
    <x v="1"/>
    <x v="1"/>
    <x v="25"/>
    <x v="2"/>
    <x v="5"/>
    <d v="2019-01-31T00:00:00"/>
    <n v="2"/>
    <x v="4"/>
    <n v="31"/>
    <x v="0"/>
  </r>
  <r>
    <x v="65"/>
    <n v="10070"/>
    <x v="65"/>
    <x v="0"/>
    <x v="0"/>
    <n v="1810"/>
    <d v="1977-10-31T00:00:00"/>
    <x v="0"/>
    <x v="1"/>
    <x v="0"/>
    <s v="No"/>
    <x v="0"/>
    <d v="2011-05-16T00:00:00"/>
    <d v="2016-08-06T00:00:00"/>
    <x v="5"/>
    <x v="1"/>
    <x v="0"/>
    <x v="4"/>
    <x v="1"/>
    <x v="1"/>
    <x v="4"/>
    <x v="2"/>
    <x v="0"/>
    <d v="2016-02-04T00:00:00"/>
    <n v="0"/>
    <x v="15"/>
    <n v="42"/>
    <x v="1"/>
  </r>
  <r>
    <x v="66"/>
    <n v="10155"/>
    <x v="66"/>
    <x v="3"/>
    <x v="0"/>
    <n v="2176"/>
    <d v="1979-05-07T00:00:00"/>
    <x v="1"/>
    <x v="0"/>
    <x v="0"/>
    <s v="No"/>
    <x v="1"/>
    <d v="2012-09-01T00:00:00"/>
    <d v="1990-01-01T00:00:00"/>
    <x v="0"/>
    <x v="0"/>
    <x v="2"/>
    <x v="6"/>
    <x v="6"/>
    <x v="1"/>
    <x v="36"/>
    <x v="0"/>
    <x v="3"/>
    <d v="2019-01-25T00:00:00"/>
    <n v="0"/>
    <x v="12"/>
    <n v="40"/>
    <x v="1"/>
  </r>
  <r>
    <x v="67"/>
    <n v="10306"/>
    <x v="67"/>
    <x v="11"/>
    <x v="5"/>
    <n v="36006"/>
    <d v="1975-02-11T00:00:00"/>
    <x v="0"/>
    <x v="0"/>
    <x v="0"/>
    <s v="No"/>
    <x v="2"/>
    <d v="2014-09-29T00:00:00"/>
    <d v="1990-01-01T00:00:00"/>
    <x v="0"/>
    <x v="0"/>
    <x v="4"/>
    <x v="14"/>
    <x v="1"/>
    <x v="3"/>
    <x v="37"/>
    <x v="1"/>
    <x v="0"/>
    <d v="2019-01-30T00:00:00"/>
    <n v="6"/>
    <x v="14"/>
    <n v="44"/>
    <x v="1"/>
  </r>
  <r>
    <x v="68"/>
    <n v="10100"/>
    <x v="68"/>
    <x v="2"/>
    <x v="0"/>
    <n v="2343"/>
    <d v="1951-02-25T00:00:00"/>
    <x v="1"/>
    <x v="4"/>
    <x v="0"/>
    <s v="No"/>
    <x v="1"/>
    <d v="2011-04-04T00:00:00"/>
    <d v="2015-04-11T00:00:00"/>
    <x v="11"/>
    <x v="1"/>
    <x v="0"/>
    <x v="11"/>
    <x v="2"/>
    <x v="1"/>
    <x v="33"/>
    <x v="0"/>
    <x v="0"/>
    <d v="2015-06-05T00:00:00"/>
    <n v="0"/>
    <x v="0"/>
    <n v="68"/>
    <x v="3"/>
  </r>
  <r>
    <x v="69"/>
    <n v="10310"/>
    <x v="69"/>
    <x v="0"/>
    <x v="0"/>
    <n v="2061"/>
    <d v="1967-04-19T00:00:00"/>
    <x v="0"/>
    <x v="1"/>
    <x v="0"/>
    <s v="No"/>
    <x v="0"/>
    <d v="2014-07-07T00:00:00"/>
    <d v="1990-01-01T00:00:00"/>
    <x v="0"/>
    <x v="0"/>
    <x v="0"/>
    <x v="5"/>
    <x v="1"/>
    <x v="3"/>
    <x v="38"/>
    <x v="3"/>
    <x v="0"/>
    <d v="2019-01-31T00:00:00"/>
    <n v="4"/>
    <x v="9"/>
    <n v="52"/>
    <x v="2"/>
  </r>
  <r>
    <x v="70"/>
    <n v="10197"/>
    <x v="70"/>
    <x v="17"/>
    <x v="0"/>
    <n v="2045"/>
    <d v="1983-04-09T00:00:00"/>
    <x v="0"/>
    <x v="0"/>
    <x v="0"/>
    <s v="No"/>
    <x v="0"/>
    <d v="2017-02-15T00:00:00"/>
    <d v="1990-01-01T00:00:00"/>
    <x v="0"/>
    <x v="0"/>
    <x v="1"/>
    <x v="19"/>
    <x v="1"/>
    <x v="1"/>
    <x v="39"/>
    <x v="0"/>
    <x v="4"/>
    <d v="2019-01-23T00:00:00"/>
    <n v="0"/>
    <x v="3"/>
    <n v="36"/>
    <x v="0"/>
  </r>
  <r>
    <x v="71"/>
    <n v="10276"/>
    <x v="71"/>
    <x v="0"/>
    <x v="0"/>
    <n v="2180"/>
    <d v="1982-11-15T00:00:00"/>
    <x v="0"/>
    <x v="0"/>
    <x v="0"/>
    <s v="No"/>
    <x v="0"/>
    <d v="2014-12-05T00:00:00"/>
    <d v="1990-01-01T00:00:00"/>
    <x v="0"/>
    <x v="0"/>
    <x v="0"/>
    <x v="7"/>
    <x v="1"/>
    <x v="1"/>
    <x v="25"/>
    <x v="2"/>
    <x v="0"/>
    <d v="2019-02-19T00:00:00"/>
    <n v="0"/>
    <x v="0"/>
    <n v="37"/>
    <x v="0"/>
  </r>
  <r>
    <x v="72"/>
    <n v="10304"/>
    <x v="72"/>
    <x v="11"/>
    <x v="6"/>
    <n v="98052"/>
    <d v="1987-05-14T00:00:00"/>
    <x v="1"/>
    <x v="0"/>
    <x v="0"/>
    <s v="Yes"/>
    <x v="0"/>
    <d v="2012-02-20T00:00:00"/>
    <d v="1990-01-01T00:00:00"/>
    <x v="0"/>
    <x v="0"/>
    <x v="4"/>
    <x v="14"/>
    <x v="7"/>
    <x v="3"/>
    <x v="40"/>
    <x v="4"/>
    <x v="0"/>
    <d v="2019-01-29T00:00:00"/>
    <n v="2"/>
    <x v="1"/>
    <n v="32"/>
    <x v="0"/>
  </r>
  <r>
    <x v="73"/>
    <n v="10284"/>
    <x v="73"/>
    <x v="0"/>
    <x v="0"/>
    <n v="2351"/>
    <d v="1978-02-12T00:00:00"/>
    <x v="1"/>
    <x v="1"/>
    <x v="0"/>
    <s v="No"/>
    <x v="1"/>
    <d v="2013-07-01T00:00:00"/>
    <d v="1990-01-01T00:00:00"/>
    <x v="0"/>
    <x v="0"/>
    <x v="0"/>
    <x v="8"/>
    <x v="1"/>
    <x v="2"/>
    <x v="41"/>
    <x v="2"/>
    <x v="0"/>
    <d v="2019-01-18T00:00:00"/>
    <n v="0"/>
    <x v="16"/>
    <n v="41"/>
    <x v="1"/>
  </r>
  <r>
    <x v="74"/>
    <n v="10207"/>
    <x v="74"/>
    <x v="0"/>
    <x v="0"/>
    <n v="2125"/>
    <d v="1986-07-10T00:00:00"/>
    <x v="1"/>
    <x v="0"/>
    <x v="0"/>
    <s v="Yes"/>
    <x v="0"/>
    <d v="2012-02-04T00:00:00"/>
    <d v="1990-01-01T00:00:00"/>
    <x v="0"/>
    <x v="0"/>
    <x v="0"/>
    <x v="10"/>
    <x v="6"/>
    <x v="1"/>
    <x v="42"/>
    <x v="0"/>
    <x v="0"/>
    <d v="2019-02-19T00:00:00"/>
    <n v="0"/>
    <x v="3"/>
    <n v="33"/>
    <x v="0"/>
  </r>
  <r>
    <x v="75"/>
    <n v="10133"/>
    <x v="75"/>
    <x v="4"/>
    <x v="0"/>
    <n v="2119"/>
    <d v="1988-07-18T00:00:00"/>
    <x v="1"/>
    <x v="1"/>
    <x v="0"/>
    <s v="No"/>
    <x v="0"/>
    <d v="2015-05-01T00:00:00"/>
    <d v="1990-01-01T00:00:00"/>
    <x v="0"/>
    <x v="0"/>
    <x v="1"/>
    <x v="9"/>
    <x v="3"/>
    <x v="1"/>
    <x v="43"/>
    <x v="2"/>
    <x v="1"/>
    <d v="2019-02-25T00:00:00"/>
    <n v="0"/>
    <x v="7"/>
    <n v="31"/>
    <x v="0"/>
  </r>
  <r>
    <x v="76"/>
    <n v="10028"/>
    <x v="76"/>
    <x v="18"/>
    <x v="0"/>
    <n v="1886"/>
    <d v="1970-09-07T00:00:00"/>
    <x v="0"/>
    <x v="0"/>
    <x v="0"/>
    <s v="No"/>
    <x v="1"/>
    <d v="2014-05-01T00:00:00"/>
    <d v="1990-01-01T00:00:00"/>
    <x v="0"/>
    <x v="0"/>
    <x v="1"/>
    <x v="15"/>
    <x v="1"/>
    <x v="0"/>
    <x v="25"/>
    <x v="0"/>
    <x v="3"/>
    <d v="2019-04-01T00:00:00"/>
    <n v="0"/>
    <x v="6"/>
    <n v="49"/>
    <x v="1"/>
  </r>
  <r>
    <x v="77"/>
    <n v="10006"/>
    <x v="77"/>
    <x v="11"/>
    <x v="7"/>
    <n v="90007"/>
    <d v="1988-08-11T00:00:00"/>
    <x v="1"/>
    <x v="0"/>
    <x v="0"/>
    <s v="No"/>
    <x v="0"/>
    <d v="2011-10-01T00:00:00"/>
    <d v="1990-01-01T00:00:00"/>
    <x v="0"/>
    <x v="0"/>
    <x v="4"/>
    <x v="16"/>
    <x v="1"/>
    <x v="0"/>
    <x v="44"/>
    <x v="0"/>
    <x v="0"/>
    <d v="2019-01-27T00:00:00"/>
    <n v="0"/>
    <x v="15"/>
    <n v="31"/>
    <x v="0"/>
  </r>
  <r>
    <x v="78"/>
    <n v="10105"/>
    <x v="78"/>
    <x v="9"/>
    <x v="0"/>
    <n v="1731"/>
    <d v="1973-11-28T00:00:00"/>
    <x v="1"/>
    <x v="0"/>
    <x v="0"/>
    <s v="No"/>
    <x v="0"/>
    <d v="2014-09-18T00:00:00"/>
    <d v="1990-01-01T00:00:00"/>
    <x v="0"/>
    <x v="0"/>
    <x v="0"/>
    <x v="13"/>
    <x v="2"/>
    <x v="1"/>
    <x v="45"/>
    <x v="2"/>
    <x v="0"/>
    <d v="2019-01-15T00:00:00"/>
    <n v="0"/>
    <x v="6"/>
    <n v="46"/>
    <x v="1"/>
  </r>
  <r>
    <x v="79"/>
    <n v="10211"/>
    <x v="79"/>
    <x v="0"/>
    <x v="0"/>
    <n v="1749"/>
    <d v="1973-09-23T00:00:00"/>
    <x v="1"/>
    <x v="1"/>
    <x v="0"/>
    <s v="No"/>
    <x v="0"/>
    <d v="2010-04-26T00:00:00"/>
    <d v="1990-01-01T00:00:00"/>
    <x v="0"/>
    <x v="0"/>
    <x v="0"/>
    <x v="7"/>
    <x v="2"/>
    <x v="1"/>
    <x v="46"/>
    <x v="1"/>
    <x v="0"/>
    <d v="2019-01-21T00:00:00"/>
    <n v="0"/>
    <x v="16"/>
    <n v="46"/>
    <x v="1"/>
  </r>
  <r>
    <x v="80"/>
    <n v="10064"/>
    <x v="80"/>
    <x v="0"/>
    <x v="0"/>
    <n v="2343"/>
    <d v="1991-05-09T00:00:00"/>
    <x v="1"/>
    <x v="1"/>
    <x v="0"/>
    <s v="No"/>
    <x v="0"/>
    <d v="2011-04-04T00:00:00"/>
    <d v="2017-06-06T00:00:00"/>
    <x v="12"/>
    <x v="1"/>
    <x v="0"/>
    <x v="2"/>
    <x v="2"/>
    <x v="1"/>
    <x v="4"/>
    <x v="1"/>
    <x v="0"/>
    <d v="2017-09-04T00:00:00"/>
    <n v="0"/>
    <x v="10"/>
    <n v="28"/>
    <x v="4"/>
  </r>
  <r>
    <x v="81"/>
    <n v="10247"/>
    <x v="81"/>
    <x v="0"/>
    <x v="0"/>
    <n v="2026"/>
    <d v="1974-05-31T00:00:00"/>
    <x v="0"/>
    <x v="0"/>
    <x v="0"/>
    <s v="No"/>
    <x v="0"/>
    <d v="2014-10-11T00:00:00"/>
    <d v="1990-01-01T00:00:00"/>
    <x v="0"/>
    <x v="0"/>
    <x v="0"/>
    <x v="11"/>
    <x v="0"/>
    <x v="1"/>
    <x v="27"/>
    <x v="0"/>
    <x v="0"/>
    <d v="2019-02-13T00:00:00"/>
    <n v="0"/>
    <x v="12"/>
    <n v="45"/>
    <x v="1"/>
  </r>
  <r>
    <x v="82"/>
    <n v="10235"/>
    <x v="82"/>
    <x v="0"/>
    <x v="0"/>
    <n v="2045"/>
    <d v="1978-08-25T00:00:00"/>
    <x v="0"/>
    <x v="1"/>
    <x v="0"/>
    <s v="No"/>
    <x v="0"/>
    <d v="2014-03-31T00:00:00"/>
    <d v="1990-01-01T00:00:00"/>
    <x v="0"/>
    <x v="0"/>
    <x v="0"/>
    <x v="11"/>
    <x v="3"/>
    <x v="1"/>
    <x v="7"/>
    <x v="1"/>
    <x v="0"/>
    <d v="2019-11-01T00:00:00"/>
    <n v="0"/>
    <x v="2"/>
    <n v="41"/>
    <x v="1"/>
  </r>
  <r>
    <x v="83"/>
    <n v="10299"/>
    <x v="83"/>
    <x v="2"/>
    <x v="0"/>
    <n v="2133"/>
    <d v="1989-08-25T00:00:00"/>
    <x v="1"/>
    <x v="4"/>
    <x v="0"/>
    <s v="No"/>
    <x v="0"/>
    <d v="2014-07-07T00:00:00"/>
    <d v="1990-01-01T00:00:00"/>
    <x v="0"/>
    <x v="0"/>
    <x v="0"/>
    <x v="0"/>
    <x v="1"/>
    <x v="3"/>
    <x v="24"/>
    <x v="4"/>
    <x v="0"/>
    <d v="2019-02-25T00:00:00"/>
    <n v="2"/>
    <x v="14"/>
    <n v="30"/>
    <x v="0"/>
  </r>
  <r>
    <x v="84"/>
    <n v="10280"/>
    <x v="84"/>
    <x v="0"/>
    <x v="0"/>
    <n v="2129"/>
    <d v="1983-02-09T00:00:00"/>
    <x v="0"/>
    <x v="0"/>
    <x v="0"/>
    <s v="No"/>
    <x v="0"/>
    <d v="2012-02-04T00:00:00"/>
    <d v="2018-09-27T00:00:00"/>
    <x v="6"/>
    <x v="2"/>
    <x v="0"/>
    <x v="0"/>
    <x v="2"/>
    <x v="2"/>
    <x v="4"/>
    <x v="2"/>
    <x v="0"/>
    <d v="2018-12-04T00:00:00"/>
    <n v="5"/>
    <x v="7"/>
    <n v="36"/>
    <x v="0"/>
  </r>
  <r>
    <x v="85"/>
    <n v="10296"/>
    <x v="85"/>
    <x v="0"/>
    <x v="0"/>
    <n v="2458"/>
    <d v="1989-06-05T00:00:00"/>
    <x v="1"/>
    <x v="0"/>
    <x v="0"/>
    <s v="No"/>
    <x v="0"/>
    <d v="2014-02-17T00:00:00"/>
    <d v="2018-02-25T00:00:00"/>
    <x v="13"/>
    <x v="2"/>
    <x v="0"/>
    <x v="3"/>
    <x v="2"/>
    <x v="2"/>
    <x v="40"/>
    <x v="1"/>
    <x v="0"/>
    <d v="2017-01-15T00:00:00"/>
    <n v="5"/>
    <x v="5"/>
    <n v="30"/>
    <x v="0"/>
  </r>
  <r>
    <x v="86"/>
    <n v="10290"/>
    <x v="86"/>
    <x v="3"/>
    <x v="0"/>
    <n v="1749"/>
    <d v="1987-05-15T00:00:00"/>
    <x v="1"/>
    <x v="1"/>
    <x v="0"/>
    <s v="No"/>
    <x v="1"/>
    <d v="2011-02-05T00:00:00"/>
    <d v="2013-05-06T00:00:00"/>
    <x v="6"/>
    <x v="2"/>
    <x v="2"/>
    <x v="6"/>
    <x v="1"/>
    <x v="2"/>
    <x v="47"/>
    <x v="0"/>
    <x v="2"/>
    <d v="2012-10-08T00:00:00"/>
    <n v="4"/>
    <x v="5"/>
    <n v="32"/>
    <x v="0"/>
  </r>
  <r>
    <x v="87"/>
    <n v="10263"/>
    <x v="87"/>
    <x v="2"/>
    <x v="0"/>
    <n v="1824"/>
    <d v="1978-09-22T00:00:00"/>
    <x v="1"/>
    <x v="1"/>
    <x v="0"/>
    <s v="No"/>
    <x v="1"/>
    <d v="2014-07-07T00:00:00"/>
    <d v="1990-01-01T00:00:00"/>
    <x v="0"/>
    <x v="0"/>
    <x v="0"/>
    <x v="3"/>
    <x v="0"/>
    <x v="1"/>
    <x v="9"/>
    <x v="0"/>
    <x v="0"/>
    <d v="2019-02-22T00:00:00"/>
    <n v="0"/>
    <x v="1"/>
    <n v="41"/>
    <x v="1"/>
  </r>
  <r>
    <x v="88"/>
    <n v="10136"/>
    <x v="88"/>
    <x v="2"/>
    <x v="0"/>
    <n v="2324"/>
    <d v="1987-09-27T00:00:00"/>
    <x v="1"/>
    <x v="0"/>
    <x v="0"/>
    <s v="No"/>
    <x v="1"/>
    <d v="2014-02-17T00:00:00"/>
    <d v="1990-01-01T00:00:00"/>
    <x v="0"/>
    <x v="0"/>
    <x v="0"/>
    <x v="4"/>
    <x v="0"/>
    <x v="1"/>
    <x v="48"/>
    <x v="2"/>
    <x v="0"/>
    <d v="2019-07-01T00:00:00"/>
    <n v="0"/>
    <x v="10"/>
    <n v="32"/>
    <x v="0"/>
  </r>
  <r>
    <x v="89"/>
    <n v="10189"/>
    <x v="89"/>
    <x v="0"/>
    <x v="0"/>
    <n v="2176"/>
    <d v="1955-04-14T00:00:00"/>
    <x v="1"/>
    <x v="1"/>
    <x v="0"/>
    <s v="No"/>
    <x v="0"/>
    <d v="2011-07-11T00:00:00"/>
    <d v="2016-05-17T00:00:00"/>
    <x v="12"/>
    <x v="1"/>
    <x v="0"/>
    <x v="4"/>
    <x v="2"/>
    <x v="1"/>
    <x v="49"/>
    <x v="1"/>
    <x v="0"/>
    <d v="2016-04-02T00:00:00"/>
    <n v="0"/>
    <x v="7"/>
    <n v="64"/>
    <x v="3"/>
  </r>
  <r>
    <x v="90"/>
    <n v="10308"/>
    <x v="90"/>
    <x v="0"/>
    <x v="0"/>
    <n v="2132"/>
    <d v="1989-10-18T00:00:00"/>
    <x v="0"/>
    <x v="1"/>
    <x v="0"/>
    <s v="No"/>
    <x v="0"/>
    <d v="2015-11-05T00:00:00"/>
    <d v="1990-01-01T00:00:00"/>
    <x v="0"/>
    <x v="0"/>
    <x v="0"/>
    <x v="5"/>
    <x v="1"/>
    <x v="3"/>
    <x v="50"/>
    <x v="0"/>
    <x v="0"/>
    <d v="2019-03-01T00:00:00"/>
    <n v="6"/>
    <x v="3"/>
    <n v="30"/>
    <x v="0"/>
  </r>
  <r>
    <x v="91"/>
    <n v="10309"/>
    <x v="91"/>
    <x v="19"/>
    <x v="0"/>
    <n v="2138"/>
    <d v="1987-06-18T00:00:00"/>
    <x v="0"/>
    <x v="0"/>
    <x v="0"/>
    <s v="No"/>
    <x v="0"/>
    <d v="2015-03-30T00:00:00"/>
    <d v="1990-01-01T00:00:00"/>
    <x v="0"/>
    <x v="0"/>
    <x v="1"/>
    <x v="9"/>
    <x v="0"/>
    <x v="3"/>
    <x v="51"/>
    <x v="1"/>
    <x v="1"/>
    <d v="2019-04-02T00:00:00"/>
    <n v="3"/>
    <x v="4"/>
    <n v="32"/>
    <x v="0"/>
  </r>
  <r>
    <x v="92"/>
    <n v="10049"/>
    <x v="92"/>
    <x v="0"/>
    <x v="0"/>
    <n v="2155"/>
    <d v="1981-03-16T00:00:00"/>
    <x v="1"/>
    <x v="1"/>
    <x v="0"/>
    <s v="No"/>
    <x v="0"/>
    <d v="2012-09-01T00:00:00"/>
    <d v="1990-01-01T00:00:00"/>
    <x v="0"/>
    <x v="0"/>
    <x v="0"/>
    <x v="8"/>
    <x v="2"/>
    <x v="1"/>
    <x v="4"/>
    <x v="0"/>
    <x v="0"/>
    <d v="2019-01-29T00:00:00"/>
    <n v="0"/>
    <x v="5"/>
    <n v="38"/>
    <x v="0"/>
  </r>
  <r>
    <x v="93"/>
    <n v="10093"/>
    <x v="93"/>
    <x v="2"/>
    <x v="0"/>
    <n v="2143"/>
    <d v="1981-01-10T00:00:00"/>
    <x v="0"/>
    <x v="0"/>
    <x v="0"/>
    <s v="Yes"/>
    <x v="0"/>
    <d v="2011-05-16T00:00:00"/>
    <d v="2013-06-24T00:00:00"/>
    <x v="2"/>
    <x v="1"/>
    <x v="0"/>
    <x v="5"/>
    <x v="2"/>
    <x v="1"/>
    <x v="52"/>
    <x v="0"/>
    <x v="0"/>
    <d v="2013-05-04T00:00:00"/>
    <n v="0"/>
    <x v="11"/>
    <n v="38"/>
    <x v="0"/>
  </r>
  <r>
    <x v="94"/>
    <n v="10163"/>
    <x v="94"/>
    <x v="2"/>
    <x v="0"/>
    <n v="2170"/>
    <d v="1983-08-11T00:00:00"/>
    <x v="1"/>
    <x v="1"/>
    <x v="0"/>
    <s v="No"/>
    <x v="0"/>
    <d v="2011-04-04T00:00:00"/>
    <d v="2013-09-01T00:00:00"/>
    <x v="1"/>
    <x v="1"/>
    <x v="0"/>
    <x v="7"/>
    <x v="2"/>
    <x v="1"/>
    <x v="53"/>
    <x v="1"/>
    <x v="0"/>
    <d v="2012-07-01T00:00:00"/>
    <n v="0"/>
    <x v="16"/>
    <n v="36"/>
    <x v="0"/>
  </r>
  <r>
    <x v="95"/>
    <n v="10305"/>
    <x v="95"/>
    <x v="11"/>
    <x v="0"/>
    <n v="2330"/>
    <d v="1975-07-07T00:00:00"/>
    <x v="0"/>
    <x v="1"/>
    <x v="0"/>
    <s v="No"/>
    <x v="0"/>
    <d v="2014-09-29T00:00:00"/>
    <d v="2018-08-19T00:00:00"/>
    <x v="14"/>
    <x v="2"/>
    <x v="4"/>
    <x v="16"/>
    <x v="3"/>
    <x v="3"/>
    <x v="11"/>
    <x v="0"/>
    <x v="0"/>
    <d v="2019-01-28T00:00:00"/>
    <n v="4"/>
    <x v="10"/>
    <n v="44"/>
    <x v="1"/>
  </r>
  <r>
    <x v="96"/>
    <n v="10015"/>
    <x v="96"/>
    <x v="20"/>
    <x v="0"/>
    <n v="1460"/>
    <d v="1980-05-07T00:00:00"/>
    <x v="0"/>
    <x v="0"/>
    <x v="0"/>
    <s v="No"/>
    <x v="1"/>
    <d v="2011-04-15T00:00:00"/>
    <d v="1990-01-01T00:00:00"/>
    <x v="0"/>
    <x v="0"/>
    <x v="1"/>
    <x v="15"/>
    <x v="1"/>
    <x v="0"/>
    <x v="4"/>
    <x v="0"/>
    <x v="3"/>
    <d v="2019-07-01T00:00:00"/>
    <n v="0"/>
    <x v="3"/>
    <n v="39"/>
    <x v="0"/>
  </r>
  <r>
    <x v="97"/>
    <n v="10080"/>
    <x v="97"/>
    <x v="8"/>
    <x v="0"/>
    <n v="2050"/>
    <d v="1979-04-16T00:00:00"/>
    <x v="1"/>
    <x v="1"/>
    <x v="0"/>
    <s v="No"/>
    <x v="0"/>
    <d v="2009-05-01T00:00:00"/>
    <d v="1990-01-01T00:00:00"/>
    <x v="0"/>
    <x v="0"/>
    <x v="3"/>
    <x v="20"/>
    <x v="8"/>
    <x v="1"/>
    <x v="4"/>
    <x v="1"/>
    <x v="7"/>
    <d v="2019-08-02T00:00:00"/>
    <n v="0"/>
    <x v="2"/>
    <n v="40"/>
    <x v="1"/>
  </r>
  <r>
    <x v="98"/>
    <n v="10258"/>
    <x v="98"/>
    <x v="11"/>
    <x v="2"/>
    <n v="6050"/>
    <d v="1963-08-28T00:00:00"/>
    <x v="0"/>
    <x v="0"/>
    <x v="0"/>
    <s v="No"/>
    <x v="1"/>
    <d v="2011-06-09T00:00:00"/>
    <d v="1990-01-01T00:00:00"/>
    <x v="0"/>
    <x v="0"/>
    <x v="4"/>
    <x v="16"/>
    <x v="6"/>
    <x v="1"/>
    <x v="25"/>
    <x v="1"/>
    <x v="0"/>
    <d v="2019-01-27T00:00:00"/>
    <n v="2"/>
    <x v="10"/>
    <n v="56"/>
    <x v="2"/>
  </r>
  <r>
    <x v="99"/>
    <n v="10273"/>
    <x v="99"/>
    <x v="4"/>
    <x v="2"/>
    <n v="6040"/>
    <d v="1968-06-07T00:00:00"/>
    <x v="1"/>
    <x v="0"/>
    <x v="0"/>
    <s v="No"/>
    <x v="0"/>
    <d v="2010-01-05T00:00:00"/>
    <d v="1990-01-01T00:00:00"/>
    <x v="0"/>
    <x v="0"/>
    <x v="1"/>
    <x v="17"/>
    <x v="0"/>
    <x v="1"/>
    <x v="27"/>
    <x v="2"/>
    <x v="3"/>
    <d v="2019-01-02T00:00:00"/>
    <n v="0"/>
    <x v="0"/>
    <n v="51"/>
    <x v="2"/>
  </r>
  <r>
    <x v="100"/>
    <n v="10111"/>
    <x v="100"/>
    <x v="0"/>
    <x v="0"/>
    <n v="1905"/>
    <d v="1985-09-15T00:00:00"/>
    <x v="0"/>
    <x v="0"/>
    <x v="0"/>
    <s v="Yes"/>
    <x v="0"/>
    <d v="2015-03-30T00:00:00"/>
    <d v="1990-01-01T00:00:00"/>
    <x v="0"/>
    <x v="0"/>
    <x v="0"/>
    <x v="10"/>
    <x v="3"/>
    <x v="1"/>
    <x v="10"/>
    <x v="1"/>
    <x v="0"/>
    <d v="2019-02-18T00:00:00"/>
    <n v="0"/>
    <x v="14"/>
    <n v="34"/>
    <x v="0"/>
  </r>
  <r>
    <x v="101"/>
    <n v="10257"/>
    <x v="101"/>
    <x v="0"/>
    <x v="0"/>
    <n v="2121"/>
    <d v="1983-02-12T00:00:00"/>
    <x v="1"/>
    <x v="0"/>
    <x v="0"/>
    <s v="Yes"/>
    <x v="1"/>
    <d v="2011-05-16T00:00:00"/>
    <d v="1990-01-01T00:00:00"/>
    <x v="0"/>
    <x v="0"/>
    <x v="0"/>
    <x v="11"/>
    <x v="0"/>
    <x v="1"/>
    <x v="7"/>
    <x v="2"/>
    <x v="0"/>
    <d v="2019-02-26T00:00:00"/>
    <n v="0"/>
    <x v="8"/>
    <n v="36"/>
    <x v="0"/>
  </r>
  <r>
    <x v="102"/>
    <n v="10159"/>
    <x v="102"/>
    <x v="0"/>
    <x v="0"/>
    <n v="2145"/>
    <d v="1990-01-10T00:00:00"/>
    <x v="1"/>
    <x v="1"/>
    <x v="0"/>
    <s v="No"/>
    <x v="1"/>
    <d v="2015-03-30T00:00:00"/>
    <d v="1990-01-01T00:00:00"/>
    <x v="0"/>
    <x v="0"/>
    <x v="0"/>
    <x v="0"/>
    <x v="0"/>
    <x v="1"/>
    <x v="54"/>
    <x v="1"/>
    <x v="0"/>
    <d v="2019-01-16T00:00:00"/>
    <n v="0"/>
    <x v="5"/>
    <n v="29"/>
    <x v="4"/>
  </r>
  <r>
    <x v="103"/>
    <n v="10122"/>
    <x v="103"/>
    <x v="0"/>
    <x v="0"/>
    <n v="2330"/>
    <d v="1970-05-15T00:00:00"/>
    <x v="1"/>
    <x v="2"/>
    <x v="0"/>
    <s v="No"/>
    <x v="1"/>
    <d v="2011-07-11T00:00:00"/>
    <d v="2016-11-15T00:00:00"/>
    <x v="2"/>
    <x v="1"/>
    <x v="0"/>
    <x v="3"/>
    <x v="4"/>
    <x v="1"/>
    <x v="55"/>
    <x v="2"/>
    <x v="0"/>
    <d v="2016-04-29T00:00:00"/>
    <n v="0"/>
    <x v="4"/>
    <n v="49"/>
    <x v="1"/>
  </r>
  <r>
    <x v="104"/>
    <n v="10142"/>
    <x v="104"/>
    <x v="11"/>
    <x v="8"/>
    <n v="43050"/>
    <d v="1971-10-07T00:00:00"/>
    <x v="1"/>
    <x v="3"/>
    <x v="0"/>
    <s v="No"/>
    <x v="1"/>
    <d v="2014-07-07T00:00:00"/>
    <d v="2015-05-09T00:00:00"/>
    <x v="6"/>
    <x v="2"/>
    <x v="4"/>
    <x v="14"/>
    <x v="6"/>
    <x v="1"/>
    <x v="56"/>
    <x v="2"/>
    <x v="0"/>
    <d v="2014-01-15T00:00:00"/>
    <n v="0"/>
    <x v="10"/>
    <n v="48"/>
    <x v="1"/>
  </r>
  <r>
    <x v="105"/>
    <n v="10283"/>
    <x v="105"/>
    <x v="0"/>
    <x v="0"/>
    <n v="2062"/>
    <d v="1974-09-08T00:00:00"/>
    <x v="0"/>
    <x v="1"/>
    <x v="0"/>
    <s v="No"/>
    <x v="1"/>
    <d v="2012-02-04T00:00:00"/>
    <d v="2015-06-25T00:00:00"/>
    <x v="12"/>
    <x v="1"/>
    <x v="0"/>
    <x v="4"/>
    <x v="4"/>
    <x v="2"/>
    <x v="56"/>
    <x v="2"/>
    <x v="0"/>
    <d v="2015-01-20T00:00:00"/>
    <n v="3"/>
    <x v="3"/>
    <n v="45"/>
    <x v="1"/>
  </r>
  <r>
    <x v="106"/>
    <n v="10018"/>
    <x v="24"/>
    <x v="0"/>
    <x v="0"/>
    <n v="2451"/>
    <d v="1980-08-05T00:00:00"/>
    <x v="1"/>
    <x v="0"/>
    <x v="0"/>
    <s v="Yes"/>
    <x v="2"/>
    <d v="2014-09-29T00:00:00"/>
    <d v="1990-01-01T00:00:00"/>
    <x v="0"/>
    <x v="0"/>
    <x v="0"/>
    <x v="5"/>
    <x v="1"/>
    <x v="0"/>
    <x v="57"/>
    <x v="2"/>
    <x v="0"/>
    <d v="2019-07-02T00:00:00"/>
    <n v="0"/>
    <x v="2"/>
    <n v="39"/>
    <x v="0"/>
  </r>
  <r>
    <x v="107"/>
    <n v="10255"/>
    <x v="106"/>
    <x v="11"/>
    <x v="9"/>
    <n v="46204"/>
    <d v="1989-09-22T00:00:00"/>
    <x v="1"/>
    <x v="0"/>
    <x v="0"/>
    <s v="No"/>
    <x v="0"/>
    <d v="2015-02-16T00:00:00"/>
    <d v="1990-01-01T00:00:00"/>
    <x v="0"/>
    <x v="0"/>
    <x v="4"/>
    <x v="16"/>
    <x v="1"/>
    <x v="1"/>
    <x v="10"/>
    <x v="0"/>
    <x v="0"/>
    <d v="2019-01-25T00:00:00"/>
    <n v="0"/>
    <x v="11"/>
    <n v="30"/>
    <x v="0"/>
  </r>
  <r>
    <x v="108"/>
    <n v="10246"/>
    <x v="107"/>
    <x v="6"/>
    <x v="0"/>
    <n v="2127"/>
    <d v="1971-10-23T00:00:00"/>
    <x v="1"/>
    <x v="0"/>
    <x v="0"/>
    <s v="No"/>
    <x v="0"/>
    <d v="2015-02-16T00:00:00"/>
    <d v="2015-03-15T00:00:00"/>
    <x v="13"/>
    <x v="2"/>
    <x v="1"/>
    <x v="1"/>
    <x v="1"/>
    <x v="1"/>
    <x v="0"/>
    <x v="2"/>
    <x v="2"/>
    <d v="2015-01-20T00:00:00"/>
    <n v="0"/>
    <x v="18"/>
    <n v="48"/>
    <x v="1"/>
  </r>
  <r>
    <x v="109"/>
    <n v="10228"/>
    <x v="108"/>
    <x v="4"/>
    <x v="0"/>
    <n v="2135"/>
    <d v="1989-11-24T00:00:00"/>
    <x v="0"/>
    <x v="1"/>
    <x v="0"/>
    <s v="Yes"/>
    <x v="0"/>
    <d v="2015-03-30T00:00:00"/>
    <d v="1990-01-01T00:00:00"/>
    <x v="0"/>
    <x v="0"/>
    <x v="1"/>
    <x v="9"/>
    <x v="0"/>
    <x v="1"/>
    <x v="25"/>
    <x v="0"/>
    <x v="4"/>
    <d v="2019-10-01T00:00:00"/>
    <n v="0"/>
    <x v="11"/>
    <n v="30"/>
    <x v="0"/>
  </r>
  <r>
    <x v="110"/>
    <n v="10243"/>
    <x v="109"/>
    <x v="0"/>
    <x v="0"/>
    <n v="2451"/>
    <d v="1992-06-18T00:00:00"/>
    <x v="1"/>
    <x v="0"/>
    <x v="0"/>
    <s v="Yes"/>
    <x v="0"/>
    <d v="2013-11-11T00:00:00"/>
    <d v="1990-01-01T00:00:00"/>
    <x v="0"/>
    <x v="0"/>
    <x v="0"/>
    <x v="7"/>
    <x v="1"/>
    <x v="1"/>
    <x v="25"/>
    <x v="0"/>
    <x v="0"/>
    <d v="2019-02-18T00:00:00"/>
    <n v="0"/>
    <x v="10"/>
    <n v="27"/>
    <x v="4"/>
  </r>
  <r>
    <x v="111"/>
    <n v="10031"/>
    <x v="110"/>
    <x v="0"/>
    <x v="0"/>
    <n v="2108"/>
    <d v="1969-09-29T00:00:00"/>
    <x v="0"/>
    <x v="2"/>
    <x v="0"/>
    <s v="No"/>
    <x v="1"/>
    <d v="2011-11-07T00:00:00"/>
    <d v="1990-01-01T00:00:00"/>
    <x v="0"/>
    <x v="0"/>
    <x v="0"/>
    <x v="8"/>
    <x v="4"/>
    <x v="0"/>
    <x v="10"/>
    <x v="2"/>
    <x v="0"/>
    <d v="2019-02-18T00:00:00"/>
    <n v="0"/>
    <x v="0"/>
    <n v="50"/>
    <x v="2"/>
  </r>
  <r>
    <x v="112"/>
    <n v="10300"/>
    <x v="111"/>
    <x v="2"/>
    <x v="0"/>
    <n v="2128"/>
    <d v="1964-12-10T00:00:00"/>
    <x v="0"/>
    <x v="1"/>
    <x v="0"/>
    <s v="No"/>
    <x v="1"/>
    <d v="2010-04-26T00:00:00"/>
    <d v="2011-05-30T00:00:00"/>
    <x v="1"/>
    <x v="1"/>
    <x v="0"/>
    <x v="8"/>
    <x v="4"/>
    <x v="3"/>
    <x v="24"/>
    <x v="1"/>
    <x v="0"/>
    <d v="2011-06-03T00:00:00"/>
    <n v="3"/>
    <x v="18"/>
    <n v="55"/>
    <x v="2"/>
  </r>
  <r>
    <x v="113"/>
    <n v="10101"/>
    <x v="112"/>
    <x v="4"/>
    <x v="0"/>
    <n v="2472"/>
    <d v="1981-04-16T00:00:00"/>
    <x v="1"/>
    <x v="4"/>
    <x v="0"/>
    <s v="Yes"/>
    <x v="0"/>
    <d v="2015-05-01T00:00:00"/>
    <d v="1990-01-01T00:00:00"/>
    <x v="0"/>
    <x v="0"/>
    <x v="1"/>
    <x v="9"/>
    <x v="3"/>
    <x v="1"/>
    <x v="58"/>
    <x v="2"/>
    <x v="3"/>
    <d v="2019-01-28T00:00:00"/>
    <n v="0"/>
    <x v="17"/>
    <n v="38"/>
    <x v="0"/>
  </r>
  <r>
    <x v="114"/>
    <n v="10237"/>
    <x v="113"/>
    <x v="2"/>
    <x v="0"/>
    <n v="1886"/>
    <d v="1986-05-25T00:00:00"/>
    <x v="1"/>
    <x v="1"/>
    <x v="0"/>
    <s v="No"/>
    <x v="0"/>
    <d v="2014-12-05T00:00:00"/>
    <d v="1990-01-01T00:00:00"/>
    <x v="0"/>
    <x v="0"/>
    <x v="0"/>
    <x v="10"/>
    <x v="0"/>
    <x v="1"/>
    <x v="0"/>
    <x v="1"/>
    <x v="0"/>
    <d v="2019-07-02T00:00:00"/>
    <n v="0"/>
    <x v="11"/>
    <n v="33"/>
    <x v="0"/>
  </r>
  <r>
    <x v="115"/>
    <n v="10051"/>
    <x v="114"/>
    <x v="0"/>
    <x v="0"/>
    <n v="2169"/>
    <d v="1979-05-21T00:00:00"/>
    <x v="0"/>
    <x v="1"/>
    <x v="0"/>
    <s v="No"/>
    <x v="0"/>
    <d v="2012-02-07T00:00:00"/>
    <d v="1990-01-01T00:00:00"/>
    <x v="0"/>
    <x v="0"/>
    <x v="0"/>
    <x v="10"/>
    <x v="0"/>
    <x v="1"/>
    <x v="4"/>
    <x v="1"/>
    <x v="0"/>
    <d v="2019-01-14T00:00:00"/>
    <n v="0"/>
    <x v="4"/>
    <n v="40"/>
    <x v="1"/>
  </r>
  <r>
    <x v="116"/>
    <n v="10218"/>
    <x v="115"/>
    <x v="2"/>
    <x v="0"/>
    <n v="1824"/>
    <d v="1983-08-12T00:00:00"/>
    <x v="1"/>
    <x v="4"/>
    <x v="0"/>
    <s v="No"/>
    <x v="4"/>
    <d v="2013-09-30T00:00:00"/>
    <d v="1990-01-01T00:00:00"/>
    <x v="0"/>
    <x v="0"/>
    <x v="0"/>
    <x v="2"/>
    <x v="2"/>
    <x v="1"/>
    <x v="9"/>
    <x v="0"/>
    <x v="0"/>
    <d v="2019-02-21T00:00:00"/>
    <n v="0"/>
    <x v="0"/>
    <n v="36"/>
    <x v="0"/>
  </r>
  <r>
    <x v="117"/>
    <n v="10256"/>
    <x v="116"/>
    <x v="0"/>
    <x v="0"/>
    <n v="1864"/>
    <d v="1974-09-10T00:00:00"/>
    <x v="1"/>
    <x v="1"/>
    <x v="0"/>
    <s v="No"/>
    <x v="3"/>
    <d v="2013-08-19T00:00:00"/>
    <d v="1990-01-01T00:00:00"/>
    <x v="0"/>
    <x v="0"/>
    <x v="0"/>
    <x v="2"/>
    <x v="0"/>
    <x v="1"/>
    <x v="28"/>
    <x v="0"/>
    <x v="0"/>
    <d v="2019-02-15T00:00:00"/>
    <n v="0"/>
    <x v="2"/>
    <n v="45"/>
    <x v="1"/>
  </r>
  <r>
    <x v="118"/>
    <n v="10098"/>
    <x v="117"/>
    <x v="9"/>
    <x v="0"/>
    <n v="1752"/>
    <d v="1981-11-07T00:00:00"/>
    <x v="0"/>
    <x v="2"/>
    <x v="0"/>
    <s v="No"/>
    <x v="0"/>
    <d v="2015-02-06T00:00:00"/>
    <d v="1990-01-01T00:00:00"/>
    <x v="0"/>
    <x v="0"/>
    <x v="0"/>
    <x v="13"/>
    <x v="3"/>
    <x v="1"/>
    <x v="59"/>
    <x v="1"/>
    <x v="0"/>
    <d v="2019-04-01T00:00:00"/>
    <n v="0"/>
    <x v="4"/>
    <n v="38"/>
    <x v="0"/>
  </r>
  <r>
    <x v="119"/>
    <n v="10059"/>
    <x v="118"/>
    <x v="0"/>
    <x v="0"/>
    <n v="2176"/>
    <d v="1983-05-21T00:00:00"/>
    <x v="1"/>
    <x v="2"/>
    <x v="0"/>
    <s v="No"/>
    <x v="0"/>
    <d v="2011-02-21T00:00:00"/>
    <d v="2014-11-01T00:00:00"/>
    <x v="11"/>
    <x v="1"/>
    <x v="0"/>
    <x v="11"/>
    <x v="6"/>
    <x v="1"/>
    <x v="4"/>
    <x v="0"/>
    <x v="0"/>
    <d v="2013-03-06T00:00:00"/>
    <n v="0"/>
    <x v="1"/>
    <n v="36"/>
    <x v="0"/>
  </r>
  <r>
    <x v="120"/>
    <n v="10234"/>
    <x v="119"/>
    <x v="17"/>
    <x v="0"/>
    <n v="2134"/>
    <d v="1989-06-30T00:00:00"/>
    <x v="0"/>
    <x v="1"/>
    <x v="0"/>
    <s v="No"/>
    <x v="1"/>
    <d v="2017-04-20T00:00:00"/>
    <d v="1990-01-01T00:00:00"/>
    <x v="0"/>
    <x v="0"/>
    <x v="1"/>
    <x v="19"/>
    <x v="1"/>
    <x v="1"/>
    <x v="7"/>
    <x v="0"/>
    <x v="3"/>
    <d v="2019-01-28T00:00:00"/>
    <n v="0"/>
    <x v="12"/>
    <n v="30"/>
    <x v="0"/>
  </r>
  <r>
    <x v="121"/>
    <n v="10109"/>
    <x v="120"/>
    <x v="11"/>
    <x v="10"/>
    <n v="37129"/>
    <d v="1969-09-02T00:00:00"/>
    <x v="0"/>
    <x v="0"/>
    <x v="0"/>
    <s v="No"/>
    <x v="2"/>
    <d v="2012-07-03T00:00:00"/>
    <d v="2014-10-31T00:00:00"/>
    <x v="10"/>
    <x v="1"/>
    <x v="4"/>
    <x v="14"/>
    <x v="0"/>
    <x v="1"/>
    <x v="10"/>
    <x v="0"/>
    <x v="0"/>
    <d v="2013-01-02T00:00:00"/>
    <n v="0"/>
    <x v="11"/>
    <n v="50"/>
    <x v="2"/>
  </r>
  <r>
    <x v="122"/>
    <n v="10125"/>
    <x v="121"/>
    <x v="0"/>
    <x v="0"/>
    <n v="2127"/>
    <d v="1977-03-23T00:00:00"/>
    <x v="1"/>
    <x v="1"/>
    <x v="0"/>
    <s v="No"/>
    <x v="0"/>
    <d v="2011-11-28T00:00:00"/>
    <d v="1990-01-01T00:00:00"/>
    <x v="0"/>
    <x v="0"/>
    <x v="0"/>
    <x v="0"/>
    <x v="2"/>
    <x v="1"/>
    <x v="7"/>
    <x v="2"/>
    <x v="0"/>
    <d v="2019-02-22T00:00:00"/>
    <n v="0"/>
    <x v="13"/>
    <n v="42"/>
    <x v="1"/>
  </r>
  <r>
    <x v="123"/>
    <n v="10074"/>
    <x v="122"/>
    <x v="2"/>
    <x v="0"/>
    <n v="2155"/>
    <d v="1988-10-08T00:00:00"/>
    <x v="0"/>
    <x v="0"/>
    <x v="0"/>
    <s v="Yes"/>
    <x v="0"/>
    <d v="2013-11-11T00:00:00"/>
    <d v="1990-01-01T00:00:00"/>
    <x v="0"/>
    <x v="0"/>
    <x v="0"/>
    <x v="11"/>
    <x v="0"/>
    <x v="1"/>
    <x v="4"/>
    <x v="1"/>
    <x v="0"/>
    <d v="2019-08-01T00:00:00"/>
    <n v="0"/>
    <x v="11"/>
    <n v="31"/>
    <x v="0"/>
  </r>
  <r>
    <x v="124"/>
    <n v="10097"/>
    <x v="123"/>
    <x v="0"/>
    <x v="0"/>
    <n v="2324"/>
    <d v="1952-08-18T00:00:00"/>
    <x v="1"/>
    <x v="0"/>
    <x v="0"/>
    <s v="No"/>
    <x v="0"/>
    <d v="2012-09-01T00:00:00"/>
    <d v="2015-12-15T00:00:00"/>
    <x v="9"/>
    <x v="1"/>
    <x v="0"/>
    <x v="4"/>
    <x v="6"/>
    <x v="1"/>
    <x v="60"/>
    <x v="2"/>
    <x v="0"/>
    <d v="2015-02-05T00:00:00"/>
    <n v="0"/>
    <x v="12"/>
    <n v="67"/>
    <x v="3"/>
  </r>
  <r>
    <x v="125"/>
    <n v="10007"/>
    <x v="124"/>
    <x v="0"/>
    <x v="0"/>
    <n v="1886"/>
    <d v="1974-02-05T00:00:00"/>
    <x v="1"/>
    <x v="1"/>
    <x v="0"/>
    <s v="No"/>
    <x v="0"/>
    <d v="2014-12-05T00:00:00"/>
    <d v="1990-01-01T00:00:00"/>
    <x v="0"/>
    <x v="0"/>
    <x v="0"/>
    <x v="5"/>
    <x v="6"/>
    <x v="0"/>
    <x v="52"/>
    <x v="2"/>
    <x v="0"/>
    <d v="2019-02-15T00:00:00"/>
    <n v="0"/>
    <x v="14"/>
    <n v="45"/>
    <x v="1"/>
  </r>
  <r>
    <x v="126"/>
    <n v="10129"/>
    <x v="125"/>
    <x v="0"/>
    <x v="0"/>
    <n v="2149"/>
    <d v="1984-04-01T00:00:00"/>
    <x v="0"/>
    <x v="0"/>
    <x v="0"/>
    <s v="No"/>
    <x v="0"/>
    <d v="2012-08-13T00:00:00"/>
    <d v="1990-01-01T00:00:00"/>
    <x v="0"/>
    <x v="0"/>
    <x v="0"/>
    <x v="7"/>
    <x v="2"/>
    <x v="1"/>
    <x v="61"/>
    <x v="2"/>
    <x v="0"/>
    <d v="2019-11-02T00:00:00"/>
    <n v="0"/>
    <x v="0"/>
    <n v="35"/>
    <x v="0"/>
  </r>
  <r>
    <x v="127"/>
    <n v="10075"/>
    <x v="126"/>
    <x v="2"/>
    <x v="0"/>
    <n v="2021"/>
    <d v="1972-08-27T00:00:00"/>
    <x v="1"/>
    <x v="0"/>
    <x v="0"/>
    <s v="No"/>
    <x v="0"/>
    <d v="2011-10-01T00:00:00"/>
    <d v="2013-06-18T00:00:00"/>
    <x v="2"/>
    <x v="1"/>
    <x v="0"/>
    <x v="11"/>
    <x v="6"/>
    <x v="1"/>
    <x v="4"/>
    <x v="1"/>
    <x v="0"/>
    <d v="2013-01-30T00:00:00"/>
    <n v="0"/>
    <x v="3"/>
    <n v="47"/>
    <x v="1"/>
  </r>
  <r>
    <x v="128"/>
    <n v="10167"/>
    <x v="127"/>
    <x v="11"/>
    <x v="11"/>
    <n v="3062"/>
    <d v="1988-09-14T00:00:00"/>
    <x v="0"/>
    <x v="1"/>
    <x v="0"/>
    <s v="No"/>
    <x v="4"/>
    <d v="2014-08-18T00:00:00"/>
    <d v="1990-01-01T00:00:00"/>
    <x v="0"/>
    <x v="0"/>
    <x v="4"/>
    <x v="14"/>
    <x v="1"/>
    <x v="1"/>
    <x v="62"/>
    <x v="0"/>
    <x v="0"/>
    <d v="2019-01-30T00:00:00"/>
    <n v="0"/>
    <x v="9"/>
    <n v="31"/>
    <x v="0"/>
  </r>
  <r>
    <x v="129"/>
    <n v="10195"/>
    <x v="128"/>
    <x v="2"/>
    <x v="0"/>
    <n v="2445"/>
    <d v="1984-02-16T00:00:00"/>
    <x v="1"/>
    <x v="1"/>
    <x v="2"/>
    <s v="No"/>
    <x v="0"/>
    <d v="2011-08-15T00:00:00"/>
    <d v="2012-07-04T00:00:00"/>
    <x v="10"/>
    <x v="1"/>
    <x v="0"/>
    <x v="0"/>
    <x v="1"/>
    <x v="1"/>
    <x v="63"/>
    <x v="0"/>
    <x v="0"/>
    <d v="2012-05-03T00:00:00"/>
    <n v="0"/>
    <x v="7"/>
    <n v="35"/>
    <x v="0"/>
  </r>
  <r>
    <x v="130"/>
    <n v="10112"/>
    <x v="129"/>
    <x v="6"/>
    <x v="0"/>
    <n v="2493"/>
    <d v="1984-02-21T00:00:00"/>
    <x v="1"/>
    <x v="0"/>
    <x v="0"/>
    <s v="No"/>
    <x v="0"/>
    <d v="2015-03-30T00:00:00"/>
    <d v="1990-01-01T00:00:00"/>
    <x v="0"/>
    <x v="0"/>
    <x v="1"/>
    <x v="1"/>
    <x v="1"/>
    <x v="1"/>
    <x v="64"/>
    <x v="0"/>
    <x v="1"/>
    <d v="2019-03-01T00:00:00"/>
    <n v="0"/>
    <x v="6"/>
    <n v="35"/>
    <x v="0"/>
  </r>
  <r>
    <x v="131"/>
    <n v="10272"/>
    <x v="130"/>
    <x v="21"/>
    <x v="12"/>
    <n v="2908"/>
    <d v="1966-03-17T00:00:00"/>
    <x v="1"/>
    <x v="1"/>
    <x v="0"/>
    <s v="No"/>
    <x v="0"/>
    <d v="2014-05-05T00:00:00"/>
    <d v="1990-01-01T00:00:00"/>
    <x v="0"/>
    <x v="0"/>
    <x v="4"/>
    <x v="13"/>
    <x v="0"/>
    <x v="1"/>
    <x v="10"/>
    <x v="2"/>
    <x v="0"/>
    <d v="2019-01-21T00:00:00"/>
    <n v="0"/>
    <x v="5"/>
    <n v="53"/>
    <x v="2"/>
  </r>
  <r>
    <x v="132"/>
    <n v="10182"/>
    <x v="131"/>
    <x v="22"/>
    <x v="0"/>
    <n v="2170"/>
    <d v="1985-09-16T00:00:00"/>
    <x v="1"/>
    <x v="1"/>
    <x v="0"/>
    <s v="No"/>
    <x v="1"/>
    <d v="2015-02-16T00:00:00"/>
    <d v="2015-04-15T00:00:00"/>
    <x v="13"/>
    <x v="2"/>
    <x v="3"/>
    <x v="12"/>
    <x v="1"/>
    <x v="1"/>
    <x v="65"/>
    <x v="1"/>
    <x v="2"/>
    <d v="2015-04-15T00:00:00"/>
    <n v="0"/>
    <x v="16"/>
    <n v="34"/>
    <x v="0"/>
  </r>
  <r>
    <x v="133"/>
    <n v="10248"/>
    <x v="132"/>
    <x v="0"/>
    <x v="0"/>
    <n v="2176"/>
    <d v="1986-10-06T00:00:00"/>
    <x v="1"/>
    <x v="0"/>
    <x v="0"/>
    <s v="No"/>
    <x v="0"/>
    <d v="2012-02-20T00:00:00"/>
    <d v="1990-01-01T00:00:00"/>
    <x v="0"/>
    <x v="0"/>
    <x v="0"/>
    <x v="7"/>
    <x v="0"/>
    <x v="1"/>
    <x v="12"/>
    <x v="2"/>
    <x v="0"/>
    <d v="2019-07-01T00:00:00"/>
    <n v="0"/>
    <x v="6"/>
    <n v="33"/>
    <x v="0"/>
  </r>
  <r>
    <x v="134"/>
    <n v="10201"/>
    <x v="133"/>
    <x v="2"/>
    <x v="0"/>
    <n v="2021"/>
    <d v="1984-11-03T00:00:00"/>
    <x v="1"/>
    <x v="0"/>
    <x v="0"/>
    <s v="No"/>
    <x v="0"/>
    <d v="2016-06-06T00:00:00"/>
    <d v="1990-01-01T00:00:00"/>
    <x v="0"/>
    <x v="0"/>
    <x v="0"/>
    <x v="3"/>
    <x v="0"/>
    <x v="1"/>
    <x v="24"/>
    <x v="0"/>
    <x v="0"/>
    <d v="2019-01-18T00:00:00"/>
    <n v="0"/>
    <x v="6"/>
    <n v="35"/>
    <x v="0"/>
  </r>
  <r>
    <x v="135"/>
    <n v="10214"/>
    <x v="134"/>
    <x v="2"/>
    <x v="0"/>
    <n v="2351"/>
    <d v="1992-07-05T00:00:00"/>
    <x v="1"/>
    <x v="4"/>
    <x v="0"/>
    <s v="No"/>
    <x v="0"/>
    <d v="2015-05-06T00:00:00"/>
    <d v="1990-01-01T00:00:00"/>
    <x v="0"/>
    <x v="0"/>
    <x v="0"/>
    <x v="4"/>
    <x v="1"/>
    <x v="1"/>
    <x v="10"/>
    <x v="1"/>
    <x v="0"/>
    <d v="2019-02-14T00:00:00"/>
    <n v="0"/>
    <x v="16"/>
    <n v="27"/>
    <x v="4"/>
  </r>
  <r>
    <x v="136"/>
    <n v="10160"/>
    <x v="135"/>
    <x v="2"/>
    <x v="0"/>
    <n v="1742"/>
    <d v="1976-09-22T00:00:00"/>
    <x v="1"/>
    <x v="2"/>
    <x v="0"/>
    <s v="No"/>
    <x v="0"/>
    <d v="2011-02-21T00:00:00"/>
    <d v="2013-01-04T00:00:00"/>
    <x v="5"/>
    <x v="1"/>
    <x v="0"/>
    <x v="5"/>
    <x v="2"/>
    <x v="1"/>
    <x v="66"/>
    <x v="1"/>
    <x v="0"/>
    <d v="2013-01-02T00:00:00"/>
    <n v="0"/>
    <x v="19"/>
    <n v="43"/>
    <x v="1"/>
  </r>
  <r>
    <x v="137"/>
    <n v="10289"/>
    <x v="136"/>
    <x v="9"/>
    <x v="0"/>
    <n v="2128"/>
    <d v="1976-11-15T00:00:00"/>
    <x v="0"/>
    <x v="1"/>
    <x v="0"/>
    <s v="No"/>
    <x v="3"/>
    <d v="2011-02-21T00:00:00"/>
    <d v="2012-09-24T00:00:00"/>
    <x v="5"/>
    <x v="1"/>
    <x v="0"/>
    <x v="13"/>
    <x v="1"/>
    <x v="2"/>
    <x v="67"/>
    <x v="3"/>
    <x v="0"/>
    <d v="2012-12-04T00:00:00"/>
    <n v="3"/>
    <x v="6"/>
    <n v="43"/>
    <x v="1"/>
  </r>
  <r>
    <x v="138"/>
    <n v="10139"/>
    <x v="137"/>
    <x v="0"/>
    <x v="0"/>
    <n v="1775"/>
    <d v="1991-01-28T00:00:00"/>
    <x v="1"/>
    <x v="0"/>
    <x v="0"/>
    <s v="No"/>
    <x v="0"/>
    <d v="2013-08-19T00:00:00"/>
    <d v="1990-01-01T00:00:00"/>
    <x v="0"/>
    <x v="0"/>
    <x v="0"/>
    <x v="8"/>
    <x v="1"/>
    <x v="1"/>
    <x v="68"/>
    <x v="1"/>
    <x v="0"/>
    <d v="2019-01-14T00:00:00"/>
    <n v="0"/>
    <x v="15"/>
    <n v="28"/>
    <x v="4"/>
  </r>
  <r>
    <x v="139"/>
    <n v="10227"/>
    <x v="112"/>
    <x v="0"/>
    <x v="0"/>
    <n v="2081"/>
    <d v="1972-11-09T00:00:00"/>
    <x v="1"/>
    <x v="0"/>
    <x v="0"/>
    <s v="No"/>
    <x v="1"/>
    <d v="2012-05-11T00:00:00"/>
    <d v="1990-01-01T00:00:00"/>
    <x v="0"/>
    <x v="0"/>
    <x v="0"/>
    <x v="10"/>
    <x v="0"/>
    <x v="1"/>
    <x v="28"/>
    <x v="1"/>
    <x v="0"/>
    <d v="2019-01-17T00:00:00"/>
    <n v="0"/>
    <x v="10"/>
    <n v="47"/>
    <x v="1"/>
  </r>
  <r>
    <x v="140"/>
    <n v="10236"/>
    <x v="138"/>
    <x v="0"/>
    <x v="0"/>
    <n v="1778"/>
    <d v="1966-03-22T00:00:00"/>
    <x v="1"/>
    <x v="2"/>
    <x v="0"/>
    <s v="No"/>
    <x v="0"/>
    <d v="2013-09-30T00:00:00"/>
    <d v="1990-01-01T00:00:00"/>
    <x v="0"/>
    <x v="0"/>
    <x v="0"/>
    <x v="2"/>
    <x v="3"/>
    <x v="1"/>
    <x v="25"/>
    <x v="0"/>
    <x v="0"/>
    <d v="2019-02-22T00:00:00"/>
    <n v="0"/>
    <x v="10"/>
    <n v="53"/>
    <x v="2"/>
  </r>
  <r>
    <x v="141"/>
    <n v="10009"/>
    <x v="139"/>
    <x v="2"/>
    <x v="0"/>
    <n v="1821"/>
    <d v="1986-06-11T00:00:00"/>
    <x v="1"/>
    <x v="2"/>
    <x v="0"/>
    <s v="No"/>
    <x v="4"/>
    <d v="2011-05-07T00:00:00"/>
    <d v="1990-01-01T00:00:00"/>
    <x v="0"/>
    <x v="0"/>
    <x v="0"/>
    <x v="7"/>
    <x v="0"/>
    <x v="0"/>
    <x v="0"/>
    <x v="2"/>
    <x v="0"/>
    <d v="2019-02-25T00:00:00"/>
    <n v="0"/>
    <x v="17"/>
    <n v="33"/>
    <x v="0"/>
  </r>
  <r>
    <x v="142"/>
    <n v="10060"/>
    <x v="140"/>
    <x v="0"/>
    <x v="0"/>
    <n v="2109"/>
    <d v="1964-04-13T00:00:00"/>
    <x v="1"/>
    <x v="4"/>
    <x v="0"/>
    <s v="No"/>
    <x v="0"/>
    <d v="2014-06-01T00:00:00"/>
    <d v="1990-01-01T00:00:00"/>
    <x v="0"/>
    <x v="0"/>
    <x v="0"/>
    <x v="11"/>
    <x v="0"/>
    <x v="1"/>
    <x v="4"/>
    <x v="0"/>
    <x v="0"/>
    <d v="2019-01-21T00:00:00"/>
    <n v="0"/>
    <x v="9"/>
    <n v="55"/>
    <x v="2"/>
  </r>
  <r>
    <x v="143"/>
    <n v="10034"/>
    <x v="141"/>
    <x v="0"/>
    <x v="0"/>
    <n v="2445"/>
    <d v="1959-08-19T00:00:00"/>
    <x v="0"/>
    <x v="1"/>
    <x v="0"/>
    <s v="No"/>
    <x v="0"/>
    <d v="2011-07-11T00:00:00"/>
    <d v="2018-04-29T00:00:00"/>
    <x v="11"/>
    <x v="1"/>
    <x v="0"/>
    <x v="0"/>
    <x v="6"/>
    <x v="0"/>
    <x v="27"/>
    <x v="2"/>
    <x v="0"/>
    <d v="2018-02-14T00:00:00"/>
    <n v="0"/>
    <x v="9"/>
    <n v="60"/>
    <x v="3"/>
  </r>
  <r>
    <x v="144"/>
    <n v="10156"/>
    <x v="142"/>
    <x v="6"/>
    <x v="0"/>
    <n v="2301"/>
    <d v="1986-07-11T00:00:00"/>
    <x v="1"/>
    <x v="1"/>
    <x v="0"/>
    <s v="No"/>
    <x v="3"/>
    <d v="2015-05-01T00:00:00"/>
    <d v="1990-01-01T00:00:00"/>
    <x v="0"/>
    <x v="0"/>
    <x v="1"/>
    <x v="1"/>
    <x v="1"/>
    <x v="1"/>
    <x v="69"/>
    <x v="1"/>
    <x v="3"/>
    <d v="2019-11-02T00:00:00"/>
    <n v="0"/>
    <x v="4"/>
    <n v="33"/>
    <x v="0"/>
  </r>
  <r>
    <x v="145"/>
    <n v="10036"/>
    <x v="143"/>
    <x v="2"/>
    <x v="0"/>
    <n v="2128"/>
    <d v="1969-08-09T00:00:00"/>
    <x v="1"/>
    <x v="0"/>
    <x v="0"/>
    <s v="No"/>
    <x v="0"/>
    <d v="2014-07-07T00:00:00"/>
    <d v="1990-01-01T00:00:00"/>
    <x v="0"/>
    <x v="0"/>
    <x v="0"/>
    <x v="8"/>
    <x v="0"/>
    <x v="0"/>
    <x v="25"/>
    <x v="1"/>
    <x v="0"/>
    <d v="2019-11-01T00:00:00"/>
    <n v="0"/>
    <x v="0"/>
    <n v="50"/>
    <x v="2"/>
  </r>
  <r>
    <x v="146"/>
    <n v="10138"/>
    <x v="144"/>
    <x v="0"/>
    <x v="0"/>
    <n v="2446"/>
    <d v="1986-04-17T00:00:00"/>
    <x v="1"/>
    <x v="1"/>
    <x v="0"/>
    <s v="No"/>
    <x v="1"/>
    <d v="2011-10-01T00:00:00"/>
    <d v="2016-01-04T00:00:00"/>
    <x v="5"/>
    <x v="1"/>
    <x v="0"/>
    <x v="3"/>
    <x v="6"/>
    <x v="1"/>
    <x v="48"/>
    <x v="2"/>
    <x v="0"/>
    <d v="2016-03-02T00:00:00"/>
    <n v="0"/>
    <x v="6"/>
    <n v="33"/>
    <x v="0"/>
  </r>
  <r>
    <x v="147"/>
    <n v="10244"/>
    <x v="145"/>
    <x v="16"/>
    <x v="13"/>
    <n v="19444"/>
    <d v="1989-11-11T00:00:00"/>
    <x v="1"/>
    <x v="0"/>
    <x v="0"/>
    <s v="No"/>
    <x v="0"/>
    <d v="2011-07-11T00:00:00"/>
    <d v="2014-04-24T00:00:00"/>
    <x v="15"/>
    <x v="1"/>
    <x v="4"/>
    <x v="18"/>
    <x v="2"/>
    <x v="1"/>
    <x v="10"/>
    <x v="0"/>
    <x v="0"/>
    <d v="2013-03-30T00:00:00"/>
    <n v="0"/>
    <x v="4"/>
    <n v="30"/>
    <x v="0"/>
  </r>
  <r>
    <x v="148"/>
    <n v="10192"/>
    <x v="146"/>
    <x v="0"/>
    <x v="0"/>
    <n v="1887"/>
    <d v="1976-01-19T00:00:00"/>
    <x v="0"/>
    <x v="0"/>
    <x v="0"/>
    <s v="No"/>
    <x v="0"/>
    <d v="2013-09-30T00:00:00"/>
    <d v="1990-01-01T00:00:00"/>
    <x v="0"/>
    <x v="0"/>
    <x v="0"/>
    <x v="0"/>
    <x v="1"/>
    <x v="1"/>
    <x v="70"/>
    <x v="2"/>
    <x v="0"/>
    <d v="2019-01-23T00:00:00"/>
    <n v="0"/>
    <x v="18"/>
    <n v="43"/>
    <x v="1"/>
  </r>
  <r>
    <x v="149"/>
    <n v="10231"/>
    <x v="147"/>
    <x v="11"/>
    <x v="14"/>
    <n v="80820"/>
    <d v="1979-11-27T00:00:00"/>
    <x v="0"/>
    <x v="0"/>
    <x v="0"/>
    <s v="No"/>
    <x v="0"/>
    <d v="2013-08-19T00:00:00"/>
    <d v="1990-01-01T00:00:00"/>
    <x v="0"/>
    <x v="0"/>
    <x v="4"/>
    <x v="16"/>
    <x v="1"/>
    <x v="1"/>
    <x v="25"/>
    <x v="0"/>
    <x v="0"/>
    <d v="2019-01-22T00:00:00"/>
    <n v="0"/>
    <x v="13"/>
    <n v="40"/>
    <x v="1"/>
  </r>
  <r>
    <x v="150"/>
    <n v="10089"/>
    <x v="148"/>
    <x v="23"/>
    <x v="0"/>
    <n v="1902"/>
    <d v="1954-09-21T00:00:00"/>
    <x v="1"/>
    <x v="1"/>
    <x v="0"/>
    <s v="Yes"/>
    <x v="0"/>
    <d v="2012-02-07T00:00:00"/>
    <d v="1990-01-01T00:00:00"/>
    <x v="0"/>
    <x v="0"/>
    <x v="5"/>
    <x v="20"/>
    <x v="1"/>
    <x v="1"/>
    <x v="71"/>
    <x v="1"/>
    <x v="0"/>
    <d v="2019-01-17T00:00:00"/>
    <n v="0"/>
    <x v="18"/>
    <n v="65"/>
    <x v="3"/>
  </r>
  <r>
    <x v="151"/>
    <n v="10166"/>
    <x v="149"/>
    <x v="0"/>
    <x v="0"/>
    <n v="2170"/>
    <d v="1973-08-12T00:00:00"/>
    <x v="1"/>
    <x v="1"/>
    <x v="0"/>
    <s v="No"/>
    <x v="0"/>
    <d v="2011-09-26T00:00:00"/>
    <d v="2015-04-06T00:00:00"/>
    <x v="11"/>
    <x v="1"/>
    <x v="0"/>
    <x v="4"/>
    <x v="2"/>
    <x v="1"/>
    <x v="62"/>
    <x v="0"/>
    <x v="0"/>
    <d v="2015-01-03T00:00:00"/>
    <n v="0"/>
    <x v="7"/>
    <n v="46"/>
    <x v="1"/>
  </r>
  <r>
    <x v="152"/>
    <n v="10170"/>
    <x v="150"/>
    <x v="0"/>
    <x v="0"/>
    <n v="2127"/>
    <d v="1970-08-10T00:00:00"/>
    <x v="1"/>
    <x v="1"/>
    <x v="0"/>
    <s v="No"/>
    <x v="0"/>
    <d v="2011-09-26T00:00:00"/>
    <d v="2014-09-01T00:00:00"/>
    <x v="11"/>
    <x v="1"/>
    <x v="0"/>
    <x v="5"/>
    <x v="2"/>
    <x v="1"/>
    <x v="72"/>
    <x v="2"/>
    <x v="0"/>
    <d v="2013-01-30T00:00:00"/>
    <n v="0"/>
    <x v="16"/>
    <n v="49"/>
    <x v="1"/>
  </r>
  <r>
    <x v="153"/>
    <n v="10208"/>
    <x v="151"/>
    <x v="0"/>
    <x v="0"/>
    <n v="1721"/>
    <d v="1977-10-11T00:00:00"/>
    <x v="0"/>
    <x v="0"/>
    <x v="0"/>
    <s v="No"/>
    <x v="1"/>
    <d v="2014-02-17T00:00:00"/>
    <d v="1990-01-01T00:00:00"/>
    <x v="0"/>
    <x v="0"/>
    <x v="0"/>
    <x v="7"/>
    <x v="0"/>
    <x v="1"/>
    <x v="34"/>
    <x v="1"/>
    <x v="0"/>
    <d v="2019-06-02T00:00:00"/>
    <n v="0"/>
    <x v="2"/>
    <n v="42"/>
    <x v="1"/>
  </r>
  <r>
    <x v="154"/>
    <n v="10176"/>
    <x v="152"/>
    <x v="0"/>
    <x v="0"/>
    <n v="1801"/>
    <d v="1980-02-02T00:00:00"/>
    <x v="0"/>
    <x v="1"/>
    <x v="0"/>
    <s v="No"/>
    <x v="3"/>
    <d v="2011-10-01T00:00:00"/>
    <d v="1990-01-01T00:00:00"/>
    <x v="0"/>
    <x v="0"/>
    <x v="0"/>
    <x v="8"/>
    <x v="1"/>
    <x v="1"/>
    <x v="73"/>
    <x v="1"/>
    <x v="0"/>
    <d v="2019-01-21T00:00:00"/>
    <n v="0"/>
    <x v="1"/>
    <n v="39"/>
    <x v="0"/>
  </r>
  <r>
    <x v="155"/>
    <n v="10165"/>
    <x v="153"/>
    <x v="11"/>
    <x v="15"/>
    <n v="10171"/>
    <d v="1969-02-24T00:00:00"/>
    <x v="0"/>
    <x v="0"/>
    <x v="0"/>
    <s v="Yes"/>
    <x v="1"/>
    <d v="2011-07-03T00:00:00"/>
    <d v="1990-01-01T00:00:00"/>
    <x v="0"/>
    <x v="0"/>
    <x v="4"/>
    <x v="14"/>
    <x v="4"/>
    <x v="1"/>
    <x v="74"/>
    <x v="0"/>
    <x v="0"/>
    <d v="2019-01-17T00:00:00"/>
    <n v="0"/>
    <x v="11"/>
    <n v="50"/>
    <x v="2"/>
  </r>
  <r>
    <x v="156"/>
    <n v="10113"/>
    <x v="154"/>
    <x v="15"/>
    <x v="0"/>
    <n v="2169"/>
    <d v="1986-04-23T00:00:00"/>
    <x v="0"/>
    <x v="1"/>
    <x v="0"/>
    <s v="No"/>
    <x v="0"/>
    <d v="2014-10-11T00:00:00"/>
    <d v="1990-01-01T00:00:00"/>
    <x v="0"/>
    <x v="0"/>
    <x v="1"/>
    <x v="9"/>
    <x v="3"/>
    <x v="1"/>
    <x v="6"/>
    <x v="0"/>
    <x v="1"/>
    <d v="2019-07-01T00:00:00"/>
    <n v="0"/>
    <x v="10"/>
    <n v="33"/>
    <x v="0"/>
  </r>
  <r>
    <x v="157"/>
    <n v="10092"/>
    <x v="155"/>
    <x v="9"/>
    <x v="0"/>
    <n v="1890"/>
    <d v="1972-01-07T00:00:00"/>
    <x v="0"/>
    <x v="1"/>
    <x v="0"/>
    <s v="No"/>
    <x v="0"/>
    <d v="2011-10-01T00:00:00"/>
    <d v="2015-12-12T00:00:00"/>
    <x v="6"/>
    <x v="2"/>
    <x v="0"/>
    <x v="13"/>
    <x v="3"/>
    <x v="1"/>
    <x v="75"/>
    <x v="2"/>
    <x v="0"/>
    <d v="2015-02-15T00:00:00"/>
    <n v="0"/>
    <x v="9"/>
    <n v="47"/>
    <x v="1"/>
  </r>
  <r>
    <x v="158"/>
    <n v="10106"/>
    <x v="156"/>
    <x v="2"/>
    <x v="0"/>
    <n v="2090"/>
    <d v="1979-07-25T00:00:00"/>
    <x v="1"/>
    <x v="2"/>
    <x v="0"/>
    <s v="No"/>
    <x v="3"/>
    <d v="2013-07-01T00:00:00"/>
    <d v="2014-03-31T00:00:00"/>
    <x v="4"/>
    <x v="1"/>
    <x v="0"/>
    <x v="10"/>
    <x v="1"/>
    <x v="1"/>
    <x v="45"/>
    <x v="1"/>
    <x v="0"/>
    <d v="2014-02-20T00:00:00"/>
    <n v="0"/>
    <x v="11"/>
    <n v="40"/>
    <x v="1"/>
  </r>
  <r>
    <x v="159"/>
    <n v="10052"/>
    <x v="157"/>
    <x v="0"/>
    <x v="0"/>
    <n v="2048"/>
    <d v="1986-09-12T00:00:00"/>
    <x v="0"/>
    <x v="1"/>
    <x v="0"/>
    <s v="No"/>
    <x v="0"/>
    <d v="2012-09-07T00:00:00"/>
    <d v="1990-01-01T00:00:00"/>
    <x v="0"/>
    <x v="0"/>
    <x v="0"/>
    <x v="10"/>
    <x v="0"/>
    <x v="1"/>
    <x v="4"/>
    <x v="0"/>
    <x v="0"/>
    <d v="2019-04-02T00:00:00"/>
    <n v="0"/>
    <x v="13"/>
    <n v="33"/>
    <x v="0"/>
  </r>
  <r>
    <x v="160"/>
    <n v="10038"/>
    <x v="158"/>
    <x v="10"/>
    <x v="0"/>
    <n v="1460"/>
    <d v="1984-04-26T00:00:00"/>
    <x v="0"/>
    <x v="2"/>
    <x v="0"/>
    <s v="No"/>
    <x v="1"/>
    <d v="2014-06-01T00:00:00"/>
    <d v="1990-01-01T00:00:00"/>
    <x v="0"/>
    <x v="0"/>
    <x v="3"/>
    <x v="12"/>
    <x v="7"/>
    <x v="1"/>
    <x v="4"/>
    <x v="2"/>
    <x v="2"/>
    <d v="2019-01-17T00:00:00"/>
    <n v="0"/>
    <x v="2"/>
    <n v="35"/>
    <x v="0"/>
  </r>
  <r>
    <x v="161"/>
    <n v="10249"/>
    <x v="159"/>
    <x v="2"/>
    <x v="0"/>
    <n v="2126"/>
    <d v="1984-09-05T00:00:00"/>
    <x v="0"/>
    <x v="1"/>
    <x v="0"/>
    <s v="No"/>
    <x v="0"/>
    <d v="2012-02-04T00:00:00"/>
    <d v="2013-04-15T00:00:00"/>
    <x v="11"/>
    <x v="1"/>
    <x v="0"/>
    <x v="2"/>
    <x v="2"/>
    <x v="1"/>
    <x v="76"/>
    <x v="1"/>
    <x v="0"/>
    <d v="2013-02-20T00:00:00"/>
    <n v="0"/>
    <x v="11"/>
    <n v="35"/>
    <x v="0"/>
  </r>
  <r>
    <x v="162"/>
    <n v="10232"/>
    <x v="160"/>
    <x v="24"/>
    <x v="0"/>
    <n v="1886"/>
    <d v="1987-06-14T00:00:00"/>
    <x v="1"/>
    <x v="0"/>
    <x v="0"/>
    <s v="No"/>
    <x v="3"/>
    <d v="2016-02-10T00:00:00"/>
    <d v="1990-01-01T00:00:00"/>
    <x v="0"/>
    <x v="0"/>
    <x v="1"/>
    <x v="19"/>
    <x v="1"/>
    <x v="1"/>
    <x v="28"/>
    <x v="0"/>
    <x v="4"/>
    <d v="2019-08-01T00:00:00"/>
    <n v="0"/>
    <x v="4"/>
    <n v="32"/>
    <x v="0"/>
  </r>
  <r>
    <x v="163"/>
    <n v="10087"/>
    <x v="161"/>
    <x v="0"/>
    <x v="0"/>
    <n v="1810"/>
    <d v="1979-01-17T00:00:00"/>
    <x v="1"/>
    <x v="0"/>
    <x v="0"/>
    <s v="No"/>
    <x v="3"/>
    <d v="2011-09-26T00:00:00"/>
    <d v="2018-08-19T00:00:00"/>
    <x v="3"/>
    <x v="1"/>
    <x v="0"/>
    <x v="2"/>
    <x v="6"/>
    <x v="1"/>
    <x v="77"/>
    <x v="1"/>
    <x v="0"/>
    <d v="2017-02-07T00:00:00"/>
    <n v="0"/>
    <x v="1"/>
    <n v="40"/>
    <x v="1"/>
  </r>
  <r>
    <x v="164"/>
    <n v="10134"/>
    <x v="162"/>
    <x v="25"/>
    <x v="0"/>
    <n v="1460"/>
    <d v="1984-10-06T00:00:00"/>
    <x v="0"/>
    <x v="1"/>
    <x v="0"/>
    <s v="No"/>
    <x v="0"/>
    <d v="2016-05-01T00:00:00"/>
    <d v="1990-01-01T00:00:00"/>
    <x v="0"/>
    <x v="0"/>
    <x v="3"/>
    <x v="13"/>
    <x v="6"/>
    <x v="1"/>
    <x v="28"/>
    <x v="2"/>
    <x v="0"/>
    <d v="2019-01-28T00:00:00"/>
    <n v="0"/>
    <x v="11"/>
    <n v="35"/>
    <x v="0"/>
  </r>
  <r>
    <x v="165"/>
    <n v="10251"/>
    <x v="163"/>
    <x v="0"/>
    <x v="0"/>
    <n v="1776"/>
    <d v="1982-02-09T00:00:00"/>
    <x v="0"/>
    <x v="1"/>
    <x v="0"/>
    <s v="No"/>
    <x v="3"/>
    <d v="2012-05-14T00:00:00"/>
    <d v="1990-01-01T00:00:00"/>
    <x v="0"/>
    <x v="0"/>
    <x v="0"/>
    <x v="3"/>
    <x v="2"/>
    <x v="1"/>
    <x v="28"/>
    <x v="1"/>
    <x v="0"/>
    <d v="2019-02-22T00:00:00"/>
    <n v="0"/>
    <x v="18"/>
    <n v="37"/>
    <x v="0"/>
  </r>
  <r>
    <x v="166"/>
    <n v="10103"/>
    <x v="164"/>
    <x v="11"/>
    <x v="16"/>
    <n v="84111"/>
    <d v="1988-12-27T00:00:00"/>
    <x v="0"/>
    <x v="4"/>
    <x v="0"/>
    <s v="No"/>
    <x v="1"/>
    <d v="2012-04-30T00:00:00"/>
    <d v="1990-01-01T00:00:00"/>
    <x v="0"/>
    <x v="0"/>
    <x v="4"/>
    <x v="14"/>
    <x v="7"/>
    <x v="1"/>
    <x v="78"/>
    <x v="1"/>
    <x v="0"/>
    <d v="2019-01-29T00:00:00"/>
    <n v="0"/>
    <x v="7"/>
    <n v="31"/>
    <x v="0"/>
  </r>
  <r>
    <x v="167"/>
    <n v="10017"/>
    <x v="165"/>
    <x v="9"/>
    <x v="0"/>
    <n v="2110"/>
    <d v="1981-10-26T00:00:00"/>
    <x v="1"/>
    <x v="1"/>
    <x v="0"/>
    <s v="No"/>
    <x v="0"/>
    <d v="2013-09-30T00:00:00"/>
    <d v="1990-01-01T00:00:00"/>
    <x v="0"/>
    <x v="0"/>
    <x v="0"/>
    <x v="13"/>
    <x v="7"/>
    <x v="0"/>
    <x v="28"/>
    <x v="1"/>
    <x v="0"/>
    <d v="2019-01-21T00:00:00"/>
    <n v="0"/>
    <x v="17"/>
    <n v="38"/>
    <x v="0"/>
  </r>
  <r>
    <x v="168"/>
    <n v="10186"/>
    <x v="166"/>
    <x v="0"/>
    <x v="0"/>
    <n v="1886"/>
    <d v="1981-03-26T00:00:00"/>
    <x v="1"/>
    <x v="1"/>
    <x v="0"/>
    <s v="No"/>
    <x v="0"/>
    <d v="2011-05-07T00:00:00"/>
    <d v="2018-09-26T00:00:00"/>
    <x v="5"/>
    <x v="1"/>
    <x v="0"/>
    <x v="0"/>
    <x v="1"/>
    <x v="1"/>
    <x v="79"/>
    <x v="2"/>
    <x v="0"/>
    <d v="2018-02-03T00:00:00"/>
    <n v="0"/>
    <x v="7"/>
    <n v="38"/>
    <x v="0"/>
  </r>
  <r>
    <x v="169"/>
    <n v="10137"/>
    <x v="167"/>
    <x v="2"/>
    <x v="0"/>
    <n v="1770"/>
    <d v="1979-03-19T00:00:00"/>
    <x v="0"/>
    <x v="1"/>
    <x v="0"/>
    <s v="No"/>
    <x v="0"/>
    <d v="2013-08-07T00:00:00"/>
    <d v="1990-01-01T00:00:00"/>
    <x v="0"/>
    <x v="0"/>
    <x v="0"/>
    <x v="11"/>
    <x v="0"/>
    <x v="1"/>
    <x v="48"/>
    <x v="1"/>
    <x v="0"/>
    <d v="2019-02-18T00:00:00"/>
    <n v="0"/>
    <x v="10"/>
    <n v="40"/>
    <x v="1"/>
  </r>
  <r>
    <x v="170"/>
    <n v="10008"/>
    <x v="168"/>
    <x v="4"/>
    <x v="2"/>
    <n v="6070"/>
    <d v="1988-05-10T00:00:00"/>
    <x v="1"/>
    <x v="0"/>
    <x v="0"/>
    <s v="Yes"/>
    <x v="1"/>
    <d v="2011-01-21T00:00:00"/>
    <d v="1990-01-01T00:00:00"/>
    <x v="0"/>
    <x v="0"/>
    <x v="1"/>
    <x v="17"/>
    <x v="4"/>
    <x v="0"/>
    <x v="60"/>
    <x v="2"/>
    <x v="3"/>
    <d v="2019-01-25T00:00:00"/>
    <n v="0"/>
    <x v="15"/>
    <n v="31"/>
    <x v="0"/>
  </r>
  <r>
    <x v="171"/>
    <n v="10096"/>
    <x v="169"/>
    <x v="2"/>
    <x v="0"/>
    <n v="2122"/>
    <d v="1976-12-26T00:00:00"/>
    <x v="1"/>
    <x v="3"/>
    <x v="0"/>
    <s v="No"/>
    <x v="0"/>
    <d v="2013-08-07T00:00:00"/>
    <d v="2016-09-15T00:00:00"/>
    <x v="11"/>
    <x v="1"/>
    <x v="0"/>
    <x v="0"/>
    <x v="0"/>
    <x v="1"/>
    <x v="80"/>
    <x v="2"/>
    <x v="0"/>
    <d v="2016-10-06T00:00:00"/>
    <n v="0"/>
    <x v="3"/>
    <n v="43"/>
    <x v="1"/>
  </r>
  <r>
    <x v="172"/>
    <n v="10035"/>
    <x v="170"/>
    <x v="2"/>
    <x v="0"/>
    <n v="2324"/>
    <d v="1982-03-28T00:00:00"/>
    <x v="1"/>
    <x v="0"/>
    <x v="0"/>
    <s v="No"/>
    <x v="1"/>
    <d v="2013-08-19T00:00:00"/>
    <d v="1990-01-01T00:00:00"/>
    <x v="0"/>
    <x v="0"/>
    <x v="0"/>
    <x v="3"/>
    <x v="1"/>
    <x v="0"/>
    <x v="7"/>
    <x v="2"/>
    <x v="0"/>
    <d v="2019-12-02T00:00:00"/>
    <n v="0"/>
    <x v="5"/>
    <n v="37"/>
    <x v="0"/>
  </r>
  <r>
    <x v="173"/>
    <n v="10057"/>
    <x v="171"/>
    <x v="0"/>
    <x v="0"/>
    <n v="2122"/>
    <d v="1975-10-22T00:00:00"/>
    <x v="1"/>
    <x v="1"/>
    <x v="0"/>
    <s v="No"/>
    <x v="1"/>
    <d v="2015-02-16T00:00:00"/>
    <d v="1990-01-01T00:00:00"/>
    <x v="0"/>
    <x v="0"/>
    <x v="0"/>
    <x v="3"/>
    <x v="7"/>
    <x v="1"/>
    <x v="4"/>
    <x v="1"/>
    <x v="0"/>
    <d v="2019-01-23T00:00:00"/>
    <n v="0"/>
    <x v="16"/>
    <n v="44"/>
    <x v="1"/>
  </r>
  <r>
    <x v="174"/>
    <n v="10004"/>
    <x v="172"/>
    <x v="0"/>
    <x v="0"/>
    <n v="1844"/>
    <d v="1973-02-14T00:00:00"/>
    <x v="1"/>
    <x v="0"/>
    <x v="0"/>
    <s v="Yes"/>
    <x v="1"/>
    <d v="2011-07-11T00:00:00"/>
    <d v="2015-11-14T00:00:00"/>
    <x v="4"/>
    <x v="1"/>
    <x v="0"/>
    <x v="4"/>
    <x v="4"/>
    <x v="0"/>
    <x v="4"/>
    <x v="2"/>
    <x v="0"/>
    <d v="2015-02-02T00:00:00"/>
    <n v="0"/>
    <x v="1"/>
    <n v="46"/>
    <x v="1"/>
  </r>
  <r>
    <x v="175"/>
    <n v="10191"/>
    <x v="173"/>
    <x v="0"/>
    <x v="0"/>
    <n v="1938"/>
    <d v="1972-09-11T00:00:00"/>
    <x v="0"/>
    <x v="3"/>
    <x v="0"/>
    <s v="No"/>
    <x v="0"/>
    <d v="2012-09-24T00:00:00"/>
    <d v="2017-09-26T00:00:00"/>
    <x v="2"/>
    <x v="1"/>
    <x v="0"/>
    <x v="5"/>
    <x v="1"/>
    <x v="1"/>
    <x v="81"/>
    <x v="2"/>
    <x v="0"/>
    <d v="2017-01-04T00:00:00"/>
    <n v="0"/>
    <x v="19"/>
    <n v="47"/>
    <x v="1"/>
  </r>
  <r>
    <x v="176"/>
    <n v="10219"/>
    <x v="174"/>
    <x v="0"/>
    <x v="0"/>
    <n v="2189"/>
    <d v="1986-07-07T00:00:00"/>
    <x v="1"/>
    <x v="0"/>
    <x v="0"/>
    <s v="No"/>
    <x v="0"/>
    <d v="2014-06-01T00:00:00"/>
    <d v="1990-01-01T00:00:00"/>
    <x v="0"/>
    <x v="0"/>
    <x v="0"/>
    <x v="7"/>
    <x v="0"/>
    <x v="1"/>
    <x v="0"/>
    <x v="2"/>
    <x v="0"/>
    <d v="2019-02-26T00:00:00"/>
    <n v="0"/>
    <x v="15"/>
    <n v="33"/>
    <x v="0"/>
  </r>
  <r>
    <x v="177"/>
    <n v="10077"/>
    <x v="175"/>
    <x v="2"/>
    <x v="0"/>
    <n v="2324"/>
    <d v="1976-08-25T00:00:00"/>
    <x v="1"/>
    <x v="1"/>
    <x v="0"/>
    <s v="No"/>
    <x v="0"/>
    <d v="2016-11-05T00:00:00"/>
    <d v="1990-01-01T00:00:00"/>
    <x v="0"/>
    <x v="0"/>
    <x v="0"/>
    <x v="4"/>
    <x v="0"/>
    <x v="1"/>
    <x v="4"/>
    <x v="1"/>
    <x v="0"/>
    <d v="2019-01-21T00:00:00"/>
    <n v="0"/>
    <x v="6"/>
    <n v="43"/>
    <x v="1"/>
  </r>
  <r>
    <x v="178"/>
    <n v="10073"/>
    <x v="176"/>
    <x v="2"/>
    <x v="0"/>
    <n v="2176"/>
    <d v="1986-10-12T00:00:00"/>
    <x v="1"/>
    <x v="1"/>
    <x v="0"/>
    <s v="No"/>
    <x v="2"/>
    <d v="2011-05-07T00:00:00"/>
    <d v="2012-08-19T00:00:00"/>
    <x v="4"/>
    <x v="1"/>
    <x v="0"/>
    <x v="5"/>
    <x v="0"/>
    <x v="1"/>
    <x v="4"/>
    <x v="2"/>
    <x v="0"/>
    <d v="2012-02-07T00:00:00"/>
    <n v="0"/>
    <x v="7"/>
    <n v="33"/>
    <x v="0"/>
  </r>
  <r>
    <x v="179"/>
    <n v="10279"/>
    <x v="177"/>
    <x v="0"/>
    <x v="0"/>
    <n v="2451"/>
    <d v="1974-07-11T00:00:00"/>
    <x v="1"/>
    <x v="1"/>
    <x v="0"/>
    <s v="No"/>
    <x v="0"/>
    <d v="2013-11-11T00:00:00"/>
    <d v="1990-01-01T00:00:00"/>
    <x v="0"/>
    <x v="0"/>
    <x v="0"/>
    <x v="8"/>
    <x v="0"/>
    <x v="1"/>
    <x v="28"/>
    <x v="1"/>
    <x v="0"/>
    <d v="2019-01-22T00:00:00"/>
    <n v="0"/>
    <x v="17"/>
    <n v="45"/>
    <x v="1"/>
  </r>
  <r>
    <x v="180"/>
    <n v="10110"/>
    <x v="178"/>
    <x v="3"/>
    <x v="0"/>
    <n v="2135"/>
    <d v="1987-07-11T00:00:00"/>
    <x v="1"/>
    <x v="0"/>
    <x v="0"/>
    <s v="No"/>
    <x v="3"/>
    <d v="2013-11-11T00:00:00"/>
    <d v="1990-01-01T00:00:00"/>
    <x v="0"/>
    <x v="0"/>
    <x v="2"/>
    <x v="6"/>
    <x v="2"/>
    <x v="1"/>
    <x v="10"/>
    <x v="0"/>
    <x v="2"/>
    <d v="2019-01-14T00:00:00"/>
    <n v="0"/>
    <x v="15"/>
    <n v="32"/>
    <x v="0"/>
  </r>
  <r>
    <x v="181"/>
    <n v="10053"/>
    <x v="179"/>
    <x v="0"/>
    <x v="0"/>
    <n v="2330"/>
    <d v="1977-11-22T00:00:00"/>
    <x v="1"/>
    <x v="1"/>
    <x v="0"/>
    <s v="No"/>
    <x v="0"/>
    <d v="2011-05-31T00:00:00"/>
    <d v="1990-01-01T00:00:00"/>
    <x v="0"/>
    <x v="0"/>
    <x v="0"/>
    <x v="10"/>
    <x v="1"/>
    <x v="1"/>
    <x v="4"/>
    <x v="2"/>
    <x v="0"/>
    <d v="2019-10-01T00:00:00"/>
    <n v="0"/>
    <x v="12"/>
    <n v="42"/>
    <x v="1"/>
  </r>
  <r>
    <x v="182"/>
    <n v="10076"/>
    <x v="180"/>
    <x v="2"/>
    <x v="0"/>
    <n v="2149"/>
    <d v="1987-05-21T00:00:00"/>
    <x v="1"/>
    <x v="0"/>
    <x v="0"/>
    <s v="No"/>
    <x v="1"/>
    <d v="2015-03-30T00:00:00"/>
    <d v="1990-01-01T00:00:00"/>
    <x v="0"/>
    <x v="0"/>
    <x v="0"/>
    <x v="7"/>
    <x v="0"/>
    <x v="1"/>
    <x v="4"/>
    <x v="0"/>
    <x v="0"/>
    <d v="2019-07-02T00:00:00"/>
    <n v="0"/>
    <x v="7"/>
    <n v="32"/>
    <x v="0"/>
  </r>
  <r>
    <x v="183"/>
    <n v="10145"/>
    <x v="181"/>
    <x v="0"/>
    <x v="0"/>
    <n v="2184"/>
    <d v="1987-07-01T00:00:00"/>
    <x v="1"/>
    <x v="1"/>
    <x v="0"/>
    <s v="No"/>
    <x v="1"/>
    <d v="2013-07-01T00:00:00"/>
    <d v="1990-01-01T00:00:00"/>
    <x v="0"/>
    <x v="0"/>
    <x v="0"/>
    <x v="2"/>
    <x v="6"/>
    <x v="1"/>
    <x v="82"/>
    <x v="1"/>
    <x v="0"/>
    <d v="2019-01-30T00:00:00"/>
    <n v="0"/>
    <x v="11"/>
    <n v="32"/>
    <x v="0"/>
  </r>
  <r>
    <x v="184"/>
    <n v="10202"/>
    <x v="182"/>
    <x v="11"/>
    <x v="1"/>
    <n v="78789"/>
    <d v="1984-01-07T00:00:00"/>
    <x v="0"/>
    <x v="1"/>
    <x v="0"/>
    <s v="No"/>
    <x v="2"/>
    <d v="2016-06-07T00:00:00"/>
    <d v="1990-01-01T00:00:00"/>
    <x v="0"/>
    <x v="0"/>
    <x v="4"/>
    <x v="16"/>
    <x v="7"/>
    <x v="1"/>
    <x v="42"/>
    <x v="2"/>
    <x v="0"/>
    <d v="2019-01-29T00:00:00"/>
    <n v="0"/>
    <x v="10"/>
    <n v="35"/>
    <x v="0"/>
  </r>
  <r>
    <x v="185"/>
    <n v="10128"/>
    <x v="183"/>
    <x v="0"/>
    <x v="0"/>
    <n v="1760"/>
    <d v="1968-05-30T00:00:00"/>
    <x v="1"/>
    <x v="0"/>
    <x v="0"/>
    <s v="No"/>
    <x v="1"/>
    <d v="2012-02-04T00:00:00"/>
    <d v="2016-11-11T00:00:00"/>
    <x v="4"/>
    <x v="1"/>
    <x v="0"/>
    <x v="11"/>
    <x v="4"/>
    <x v="1"/>
    <x v="83"/>
    <x v="2"/>
    <x v="0"/>
    <d v="2016-05-02T00:00:00"/>
    <n v="0"/>
    <x v="1"/>
    <n v="51"/>
    <x v="2"/>
  </r>
  <r>
    <x v="186"/>
    <n v="10068"/>
    <x v="184"/>
    <x v="0"/>
    <x v="0"/>
    <n v="2346"/>
    <d v="1976-09-22T00:00:00"/>
    <x v="1"/>
    <x v="0"/>
    <x v="0"/>
    <s v="No"/>
    <x v="0"/>
    <d v="2015-03-30T00:00:00"/>
    <d v="1990-01-01T00:00:00"/>
    <x v="0"/>
    <x v="0"/>
    <x v="0"/>
    <x v="0"/>
    <x v="6"/>
    <x v="1"/>
    <x v="4"/>
    <x v="2"/>
    <x v="0"/>
    <d v="2019-01-21T00:00:00"/>
    <n v="0"/>
    <x v="18"/>
    <n v="43"/>
    <x v="1"/>
  </r>
  <r>
    <x v="187"/>
    <n v="10116"/>
    <x v="185"/>
    <x v="9"/>
    <x v="0"/>
    <n v="2045"/>
    <d v="1981-10-08T00:00:00"/>
    <x v="0"/>
    <x v="0"/>
    <x v="0"/>
    <s v="Yes"/>
    <x v="5"/>
    <d v="2012-08-16T00:00:00"/>
    <d v="1990-01-01T00:00:00"/>
    <x v="0"/>
    <x v="0"/>
    <x v="0"/>
    <x v="13"/>
    <x v="1"/>
    <x v="1"/>
    <x v="84"/>
    <x v="1"/>
    <x v="0"/>
    <d v="2019-01-14T00:00:00"/>
    <n v="0"/>
    <x v="4"/>
    <n v="38"/>
    <x v="0"/>
  </r>
  <r>
    <x v="188"/>
    <n v="10298"/>
    <x v="186"/>
    <x v="2"/>
    <x v="0"/>
    <n v="2472"/>
    <d v="1985-06-29T00:00:00"/>
    <x v="0"/>
    <x v="0"/>
    <x v="0"/>
    <s v="No"/>
    <x v="0"/>
    <d v="2011-08-15T00:00:00"/>
    <d v="2014-04-09T00:00:00"/>
    <x v="5"/>
    <x v="1"/>
    <x v="0"/>
    <x v="8"/>
    <x v="0"/>
    <x v="3"/>
    <x v="24"/>
    <x v="3"/>
    <x v="0"/>
    <d v="2013-01-14T00:00:00"/>
    <n v="6"/>
    <x v="16"/>
    <n v="34"/>
    <x v="0"/>
  </r>
  <r>
    <x v="189"/>
    <n v="10213"/>
    <x v="187"/>
    <x v="2"/>
    <x v="0"/>
    <n v="1450"/>
    <d v="1992-08-17T00:00:00"/>
    <x v="0"/>
    <x v="1"/>
    <x v="0"/>
    <s v="No"/>
    <x v="0"/>
    <d v="2011-07-11T00:00:00"/>
    <d v="1990-01-01T00:00:00"/>
    <x v="0"/>
    <x v="0"/>
    <x v="0"/>
    <x v="10"/>
    <x v="0"/>
    <x v="1"/>
    <x v="30"/>
    <x v="1"/>
    <x v="0"/>
    <d v="2019-08-01T00:00:00"/>
    <n v="0"/>
    <x v="15"/>
    <n v="27"/>
    <x v="4"/>
  </r>
  <r>
    <x v="190"/>
    <n v="10288"/>
    <x v="188"/>
    <x v="26"/>
    <x v="0"/>
    <n v="2134"/>
    <d v="1986-05-10T00:00:00"/>
    <x v="0"/>
    <x v="1"/>
    <x v="1"/>
    <s v="Yes"/>
    <x v="1"/>
    <d v="2012-02-15T00:00:00"/>
    <d v="1990-01-01T00:00:00"/>
    <x v="0"/>
    <x v="0"/>
    <x v="1"/>
    <x v="15"/>
    <x v="4"/>
    <x v="2"/>
    <x v="85"/>
    <x v="1"/>
    <x v="1"/>
    <d v="2019-02-22T00:00:00"/>
    <n v="4"/>
    <x v="13"/>
    <n v="33"/>
    <x v="0"/>
  </r>
  <r>
    <x v="191"/>
    <n v="10025"/>
    <x v="189"/>
    <x v="2"/>
    <x v="0"/>
    <n v="2126"/>
    <d v="1970-04-24T00:00:00"/>
    <x v="1"/>
    <x v="0"/>
    <x v="0"/>
    <s v="No"/>
    <x v="1"/>
    <d v="2013-05-13T00:00:00"/>
    <d v="1990-01-01T00:00:00"/>
    <x v="0"/>
    <x v="0"/>
    <x v="0"/>
    <x v="2"/>
    <x v="1"/>
    <x v="0"/>
    <x v="27"/>
    <x v="1"/>
    <x v="0"/>
    <d v="2019-01-14T00:00:00"/>
    <n v="0"/>
    <x v="0"/>
    <n v="49"/>
    <x v="1"/>
  </r>
  <r>
    <x v="192"/>
    <n v="10223"/>
    <x v="190"/>
    <x v="2"/>
    <x v="0"/>
    <n v="2127"/>
    <d v="1976-03-12T00:00:00"/>
    <x v="0"/>
    <x v="0"/>
    <x v="0"/>
    <s v="No"/>
    <x v="1"/>
    <d v="2012-09-01T00:00:00"/>
    <d v="1990-01-01T00:00:00"/>
    <x v="0"/>
    <x v="0"/>
    <x v="0"/>
    <x v="11"/>
    <x v="4"/>
    <x v="1"/>
    <x v="28"/>
    <x v="2"/>
    <x v="0"/>
    <d v="2019-01-31T00:00:00"/>
    <n v="0"/>
    <x v="8"/>
    <n v="43"/>
    <x v="1"/>
  </r>
  <r>
    <x v="193"/>
    <n v="10151"/>
    <x v="191"/>
    <x v="19"/>
    <x v="0"/>
    <n v="2048"/>
    <d v="1979-04-04T00:00:00"/>
    <x v="1"/>
    <x v="1"/>
    <x v="0"/>
    <s v="No"/>
    <x v="0"/>
    <d v="2015-02-16T00:00:00"/>
    <d v="1990-01-01T00:00:00"/>
    <x v="0"/>
    <x v="0"/>
    <x v="1"/>
    <x v="9"/>
    <x v="6"/>
    <x v="1"/>
    <x v="86"/>
    <x v="1"/>
    <x v="1"/>
    <d v="2019-11-02T00:00:00"/>
    <n v="0"/>
    <x v="16"/>
    <n v="40"/>
    <x v="1"/>
  </r>
  <r>
    <x v="194"/>
    <n v="10254"/>
    <x v="192"/>
    <x v="0"/>
    <x v="0"/>
    <n v="2453"/>
    <d v="1984-07-07T00:00:00"/>
    <x v="1"/>
    <x v="2"/>
    <x v="0"/>
    <s v="No"/>
    <x v="0"/>
    <d v="2013-01-04T00:00:00"/>
    <d v="1990-01-01T00:00:00"/>
    <x v="0"/>
    <x v="0"/>
    <x v="0"/>
    <x v="3"/>
    <x v="0"/>
    <x v="1"/>
    <x v="9"/>
    <x v="2"/>
    <x v="0"/>
    <d v="2019-01-17T00:00:00"/>
    <n v="0"/>
    <x v="19"/>
    <n v="35"/>
    <x v="0"/>
  </r>
  <r>
    <x v="195"/>
    <n v="10120"/>
    <x v="193"/>
    <x v="2"/>
    <x v="0"/>
    <n v="1460"/>
    <d v="1974-01-12T00:00:00"/>
    <x v="0"/>
    <x v="4"/>
    <x v="0"/>
    <s v="No"/>
    <x v="1"/>
    <d v="2013-05-13T00:00:00"/>
    <d v="1990-01-01T00:00:00"/>
    <x v="0"/>
    <x v="0"/>
    <x v="0"/>
    <x v="0"/>
    <x v="0"/>
    <x v="1"/>
    <x v="87"/>
    <x v="0"/>
    <x v="0"/>
    <d v="2019-01-28T00:00:00"/>
    <n v="0"/>
    <x v="17"/>
    <n v="45"/>
    <x v="1"/>
  </r>
  <r>
    <x v="196"/>
    <n v="10216"/>
    <x v="194"/>
    <x v="0"/>
    <x v="0"/>
    <n v="1550"/>
    <d v="1980-04-18T00:00:00"/>
    <x v="0"/>
    <x v="0"/>
    <x v="0"/>
    <s v="No"/>
    <x v="3"/>
    <d v="2013-08-07T00:00:00"/>
    <d v="1990-01-01T00:00:00"/>
    <x v="0"/>
    <x v="0"/>
    <x v="0"/>
    <x v="2"/>
    <x v="0"/>
    <x v="1"/>
    <x v="28"/>
    <x v="2"/>
    <x v="0"/>
    <d v="2019-01-22T00:00:00"/>
    <n v="0"/>
    <x v="13"/>
    <n v="39"/>
    <x v="0"/>
  </r>
  <r>
    <x v="197"/>
    <n v="10079"/>
    <x v="195"/>
    <x v="24"/>
    <x v="0"/>
    <n v="2056"/>
    <d v="1970-04-25T00:00:00"/>
    <x v="0"/>
    <x v="0"/>
    <x v="0"/>
    <s v="No"/>
    <x v="3"/>
    <d v="2017-10-02T00:00:00"/>
    <d v="1990-01-01T00:00:00"/>
    <x v="0"/>
    <x v="0"/>
    <x v="1"/>
    <x v="19"/>
    <x v="1"/>
    <x v="1"/>
    <x v="4"/>
    <x v="1"/>
    <x v="1"/>
    <d v="2019-02-25T00:00:00"/>
    <n v="0"/>
    <x v="1"/>
    <n v="49"/>
    <x v="1"/>
  </r>
  <r>
    <x v="198"/>
    <n v="10215"/>
    <x v="196"/>
    <x v="0"/>
    <x v="0"/>
    <n v="2110"/>
    <d v="1989-02-05T00:00:00"/>
    <x v="0"/>
    <x v="0"/>
    <x v="0"/>
    <s v="No"/>
    <x v="1"/>
    <d v="2011-09-26T00:00:00"/>
    <d v="2014-04-04T00:00:00"/>
    <x v="3"/>
    <x v="1"/>
    <x v="0"/>
    <x v="4"/>
    <x v="4"/>
    <x v="1"/>
    <x v="25"/>
    <x v="1"/>
    <x v="0"/>
    <d v="2013-02-03T00:00:00"/>
    <n v="0"/>
    <x v="5"/>
    <n v="30"/>
    <x v="0"/>
  </r>
  <r>
    <x v="199"/>
    <n v="10185"/>
    <x v="197"/>
    <x v="0"/>
    <x v="0"/>
    <n v="2421"/>
    <d v="1983-03-28T00:00:00"/>
    <x v="0"/>
    <x v="1"/>
    <x v="0"/>
    <s v="No"/>
    <x v="0"/>
    <d v="2013-01-04T00:00:00"/>
    <d v="2016-05-25T00:00:00"/>
    <x v="11"/>
    <x v="1"/>
    <x v="0"/>
    <x v="5"/>
    <x v="3"/>
    <x v="1"/>
    <x v="79"/>
    <x v="1"/>
    <x v="0"/>
    <d v="2016-06-03T00:00:00"/>
    <n v="0"/>
    <x v="18"/>
    <n v="36"/>
    <x v="0"/>
  </r>
  <r>
    <x v="200"/>
    <n v="10063"/>
    <x v="198"/>
    <x v="0"/>
    <x v="0"/>
    <n v="2136"/>
    <d v="1977-08-04T00:00:00"/>
    <x v="0"/>
    <x v="1"/>
    <x v="0"/>
    <s v="No"/>
    <x v="0"/>
    <d v="2014-12-05T00:00:00"/>
    <d v="1990-01-01T00:00:00"/>
    <x v="0"/>
    <x v="0"/>
    <x v="0"/>
    <x v="7"/>
    <x v="0"/>
    <x v="1"/>
    <x v="4"/>
    <x v="0"/>
    <x v="0"/>
    <d v="2019-02-18T00:00:00"/>
    <n v="0"/>
    <x v="17"/>
    <n v="42"/>
    <x v="1"/>
  </r>
  <r>
    <x v="201"/>
    <n v="10037"/>
    <x v="199"/>
    <x v="0"/>
    <x v="0"/>
    <n v="1810"/>
    <d v="1967-03-06T00:00:00"/>
    <x v="1"/>
    <x v="4"/>
    <x v="0"/>
    <s v="No"/>
    <x v="1"/>
    <d v="2013-01-04T00:00:00"/>
    <d v="1990-01-01T00:00:00"/>
    <x v="0"/>
    <x v="0"/>
    <x v="0"/>
    <x v="8"/>
    <x v="4"/>
    <x v="0"/>
    <x v="48"/>
    <x v="1"/>
    <x v="0"/>
    <d v="2019-02-13T00:00:00"/>
    <n v="0"/>
    <x v="8"/>
    <n v="52"/>
    <x v="2"/>
  </r>
  <r>
    <x v="202"/>
    <n v="10042"/>
    <x v="200"/>
    <x v="11"/>
    <x v="17"/>
    <n v="30428"/>
    <d v="1989-03-31T00:00:00"/>
    <x v="1"/>
    <x v="0"/>
    <x v="0"/>
    <s v="No"/>
    <x v="2"/>
    <d v="2013-08-07T00:00:00"/>
    <d v="1990-01-01T00:00:00"/>
    <x v="0"/>
    <x v="0"/>
    <x v="4"/>
    <x v="16"/>
    <x v="1"/>
    <x v="1"/>
    <x v="4"/>
    <x v="0"/>
    <x v="0"/>
    <d v="2019-01-25T00:00:00"/>
    <n v="0"/>
    <x v="4"/>
    <n v="30"/>
    <x v="0"/>
  </r>
  <r>
    <x v="203"/>
    <n v="10206"/>
    <x v="201"/>
    <x v="0"/>
    <x v="0"/>
    <n v="2132"/>
    <d v="1984-07-07T00:00:00"/>
    <x v="1"/>
    <x v="0"/>
    <x v="0"/>
    <s v="No"/>
    <x v="0"/>
    <d v="2013-08-07T00:00:00"/>
    <d v="1990-01-01T00:00:00"/>
    <x v="0"/>
    <x v="0"/>
    <x v="0"/>
    <x v="10"/>
    <x v="0"/>
    <x v="1"/>
    <x v="62"/>
    <x v="0"/>
    <x v="0"/>
    <d v="2019-02-01T00:00:00"/>
    <n v="0"/>
    <x v="6"/>
    <n v="35"/>
    <x v="0"/>
  </r>
  <r>
    <x v="204"/>
    <n v="10104"/>
    <x v="202"/>
    <x v="2"/>
    <x v="0"/>
    <n v="1040"/>
    <d v="1985-11-23T00:00:00"/>
    <x v="1"/>
    <x v="0"/>
    <x v="0"/>
    <s v="No"/>
    <x v="0"/>
    <d v="2014-10-11T00:00:00"/>
    <d v="1990-01-01T00:00:00"/>
    <x v="0"/>
    <x v="0"/>
    <x v="0"/>
    <x v="3"/>
    <x v="1"/>
    <x v="1"/>
    <x v="78"/>
    <x v="0"/>
    <x v="0"/>
    <d v="2019-01-16T00:00:00"/>
    <n v="0"/>
    <x v="14"/>
    <n v="34"/>
    <x v="0"/>
  </r>
  <r>
    <x v="205"/>
    <n v="10303"/>
    <x v="203"/>
    <x v="0"/>
    <x v="0"/>
    <n v="2152"/>
    <d v="1980-09-30T00:00:00"/>
    <x v="1"/>
    <x v="0"/>
    <x v="0"/>
    <s v="No"/>
    <x v="2"/>
    <d v="2014-03-31T00:00:00"/>
    <d v="2018-01-05T00:00:00"/>
    <x v="7"/>
    <x v="2"/>
    <x v="0"/>
    <x v="2"/>
    <x v="0"/>
    <x v="3"/>
    <x v="88"/>
    <x v="3"/>
    <x v="0"/>
    <d v="2018-09-03T00:00:00"/>
    <n v="6"/>
    <x v="2"/>
    <n v="39"/>
    <x v="0"/>
  </r>
  <r>
    <x v="206"/>
    <n v="10078"/>
    <x v="204"/>
    <x v="2"/>
    <x v="0"/>
    <n v="2492"/>
    <d v="1952-11-02T00:00:00"/>
    <x v="1"/>
    <x v="1"/>
    <x v="0"/>
    <s v="No"/>
    <x v="3"/>
    <d v="2012-05-14T00:00:00"/>
    <d v="2013-08-19T00:00:00"/>
    <x v="5"/>
    <x v="1"/>
    <x v="0"/>
    <x v="4"/>
    <x v="0"/>
    <x v="1"/>
    <x v="4"/>
    <x v="1"/>
    <x v="0"/>
    <d v="2013-02-07T00:00:00"/>
    <n v="0"/>
    <x v="1"/>
    <n v="67"/>
    <x v="3"/>
  </r>
  <r>
    <x v="207"/>
    <n v="10121"/>
    <x v="205"/>
    <x v="11"/>
    <x v="18"/>
    <n v="33174"/>
    <d v="1990-11-05T00:00:00"/>
    <x v="1"/>
    <x v="0"/>
    <x v="0"/>
    <s v="Yes"/>
    <x v="0"/>
    <d v="2013-09-30T00:00:00"/>
    <d v="1990-01-01T00:00:00"/>
    <x v="0"/>
    <x v="0"/>
    <x v="4"/>
    <x v="16"/>
    <x v="1"/>
    <x v="1"/>
    <x v="8"/>
    <x v="1"/>
    <x v="0"/>
    <d v="2019-01-25T00:00:00"/>
    <n v="0"/>
    <x v="0"/>
    <n v="29"/>
    <x v="4"/>
  </r>
  <r>
    <x v="208"/>
    <n v="10021"/>
    <x v="206"/>
    <x v="0"/>
    <x v="0"/>
    <n v="2478"/>
    <d v="1976-11-12T00:00:00"/>
    <x v="0"/>
    <x v="1"/>
    <x v="0"/>
    <s v="No"/>
    <x v="0"/>
    <d v="2013-09-30T00:00:00"/>
    <d v="1990-01-01T00:00:00"/>
    <x v="0"/>
    <x v="0"/>
    <x v="0"/>
    <x v="11"/>
    <x v="0"/>
    <x v="0"/>
    <x v="4"/>
    <x v="1"/>
    <x v="0"/>
    <d v="2019-07-02T00:00:00"/>
    <n v="0"/>
    <x v="13"/>
    <n v="43"/>
    <x v="1"/>
  </r>
  <r>
    <x v="209"/>
    <n v="10281"/>
    <x v="207"/>
    <x v="0"/>
    <x v="0"/>
    <n v="1760"/>
    <d v="1979-11-24T00:00:00"/>
    <x v="0"/>
    <x v="0"/>
    <x v="0"/>
    <s v="No"/>
    <x v="1"/>
    <d v="2014-02-17T00:00:00"/>
    <d v="1990-01-01T00:00:00"/>
    <x v="0"/>
    <x v="0"/>
    <x v="0"/>
    <x v="0"/>
    <x v="0"/>
    <x v="2"/>
    <x v="89"/>
    <x v="1"/>
    <x v="0"/>
    <d v="2019-04-02T00:00:00"/>
    <n v="4"/>
    <x v="16"/>
    <n v="40"/>
    <x v="1"/>
  </r>
  <r>
    <x v="210"/>
    <n v="10041"/>
    <x v="208"/>
    <x v="11"/>
    <x v="19"/>
    <n v="27229"/>
    <d v="1982-05-19T00:00:00"/>
    <x v="0"/>
    <x v="0"/>
    <x v="0"/>
    <s v="No"/>
    <x v="0"/>
    <d v="2015-05-01T00:00:00"/>
    <d v="1990-01-01T00:00:00"/>
    <x v="0"/>
    <x v="0"/>
    <x v="4"/>
    <x v="14"/>
    <x v="7"/>
    <x v="1"/>
    <x v="4"/>
    <x v="0"/>
    <x v="0"/>
    <d v="2019-01-14T00:00:00"/>
    <n v="0"/>
    <x v="19"/>
    <n v="37"/>
    <x v="0"/>
  </r>
  <r>
    <x v="211"/>
    <n v="10148"/>
    <x v="209"/>
    <x v="0"/>
    <x v="0"/>
    <n v="2351"/>
    <d v="1979-01-05T00:00:00"/>
    <x v="1"/>
    <x v="1"/>
    <x v="0"/>
    <s v="No"/>
    <x v="0"/>
    <d v="2011-07-02T00:00:00"/>
    <d v="2014-12-01T00:00:00"/>
    <x v="4"/>
    <x v="1"/>
    <x v="0"/>
    <x v="3"/>
    <x v="2"/>
    <x v="1"/>
    <x v="90"/>
    <x v="2"/>
    <x v="0"/>
    <d v="2013-04-03T00:00:00"/>
    <n v="0"/>
    <x v="10"/>
    <n v="40"/>
    <x v="1"/>
  </r>
  <r>
    <x v="212"/>
    <n v="10005"/>
    <x v="210"/>
    <x v="3"/>
    <x v="0"/>
    <n v="1844"/>
    <d v="1979-02-20T00:00:00"/>
    <x v="0"/>
    <x v="0"/>
    <x v="0"/>
    <s v="No"/>
    <x v="1"/>
    <d v="2011-07-11T00:00:00"/>
    <d v="2015-07-09T00:00:00"/>
    <x v="4"/>
    <x v="1"/>
    <x v="2"/>
    <x v="6"/>
    <x v="4"/>
    <x v="0"/>
    <x v="4"/>
    <x v="0"/>
    <x v="5"/>
    <d v="2015-08-16T00:00:00"/>
    <n v="0"/>
    <x v="13"/>
    <n v="40"/>
    <x v="1"/>
  </r>
  <r>
    <x v="213"/>
    <n v="10259"/>
    <x v="211"/>
    <x v="5"/>
    <x v="0"/>
    <n v="2747"/>
    <d v="1984-05-09T00:00:00"/>
    <x v="0"/>
    <x v="1"/>
    <x v="0"/>
    <s v="No"/>
    <x v="0"/>
    <d v="2014-01-12T00:00:00"/>
    <d v="2016-01-05T00:00:00"/>
    <x v="7"/>
    <x v="1"/>
    <x v="1"/>
    <x v="1"/>
    <x v="3"/>
    <x v="1"/>
    <x v="27"/>
    <x v="2"/>
    <x v="3"/>
    <d v="2016-01-16T00:00:00"/>
    <n v="0"/>
    <x v="5"/>
    <n v="35"/>
    <x v="0"/>
  </r>
  <r>
    <x v="214"/>
    <n v="10286"/>
    <x v="212"/>
    <x v="0"/>
    <x v="0"/>
    <n v="2458"/>
    <d v="1988-03-17T00:00:00"/>
    <x v="0"/>
    <x v="0"/>
    <x v="0"/>
    <s v="No"/>
    <x v="1"/>
    <d v="2011-10-01T00:00:00"/>
    <d v="2017-12-28T00:00:00"/>
    <x v="1"/>
    <x v="1"/>
    <x v="0"/>
    <x v="4"/>
    <x v="2"/>
    <x v="2"/>
    <x v="91"/>
    <x v="0"/>
    <x v="0"/>
    <d v="2017-06-04T00:00:00"/>
    <n v="4"/>
    <x v="3"/>
    <n v="31"/>
    <x v="0"/>
  </r>
  <r>
    <x v="215"/>
    <n v="10297"/>
    <x v="213"/>
    <x v="2"/>
    <x v="0"/>
    <n v="2472"/>
    <d v="1989-07-18T00:00:00"/>
    <x v="1"/>
    <x v="1"/>
    <x v="0"/>
    <s v="No"/>
    <x v="3"/>
    <d v="2011-05-07T00:00:00"/>
    <d v="2015-09-15T00:00:00"/>
    <x v="5"/>
    <x v="1"/>
    <x v="0"/>
    <x v="5"/>
    <x v="6"/>
    <x v="2"/>
    <x v="92"/>
    <x v="0"/>
    <x v="0"/>
    <d v="2015-06-02T00:00:00"/>
    <n v="5"/>
    <x v="4"/>
    <n v="30"/>
    <x v="0"/>
  </r>
  <r>
    <x v="216"/>
    <n v="10171"/>
    <x v="214"/>
    <x v="0"/>
    <x v="0"/>
    <n v="2176"/>
    <d v="1986-07-20T00:00:00"/>
    <x v="1"/>
    <x v="0"/>
    <x v="0"/>
    <s v="No"/>
    <x v="0"/>
    <d v="2011-05-16T00:00:00"/>
    <d v="2015-10-25T00:00:00"/>
    <x v="16"/>
    <x v="1"/>
    <x v="0"/>
    <x v="5"/>
    <x v="0"/>
    <x v="1"/>
    <x v="93"/>
    <x v="2"/>
    <x v="0"/>
    <d v="2014-05-13T00:00:00"/>
    <n v="0"/>
    <x v="14"/>
    <n v="33"/>
    <x v="0"/>
  </r>
  <r>
    <x v="217"/>
    <n v="10032"/>
    <x v="215"/>
    <x v="2"/>
    <x v="0"/>
    <n v="1886"/>
    <d v="1986-08-17T00:00:00"/>
    <x v="1"/>
    <x v="1"/>
    <x v="0"/>
    <s v="No"/>
    <x v="0"/>
    <d v="2011-05-16T00:00:00"/>
    <d v="2013-04-02T00:00:00"/>
    <x v="11"/>
    <x v="1"/>
    <x v="0"/>
    <x v="7"/>
    <x v="1"/>
    <x v="0"/>
    <x v="7"/>
    <x v="0"/>
    <x v="0"/>
    <d v="2013-10-01T00:00:00"/>
    <n v="0"/>
    <x v="8"/>
    <n v="33"/>
    <x v="0"/>
  </r>
  <r>
    <x v="218"/>
    <n v="10130"/>
    <x v="216"/>
    <x v="9"/>
    <x v="0"/>
    <n v="2030"/>
    <d v="1977-09-05T00:00:00"/>
    <x v="1"/>
    <x v="1"/>
    <x v="0"/>
    <s v="No"/>
    <x v="0"/>
    <d v="2010-10-25T00:00:00"/>
    <d v="2016-05-18T00:00:00"/>
    <x v="4"/>
    <x v="1"/>
    <x v="0"/>
    <x v="13"/>
    <x v="1"/>
    <x v="1"/>
    <x v="94"/>
    <x v="0"/>
    <x v="0"/>
    <d v="2015-05-03T00:00:00"/>
    <n v="0"/>
    <x v="16"/>
    <n v="42"/>
    <x v="1"/>
  </r>
  <r>
    <x v="219"/>
    <n v="10217"/>
    <x v="217"/>
    <x v="2"/>
    <x v="0"/>
    <n v="2050"/>
    <d v="1979-10-03T00:00:00"/>
    <x v="1"/>
    <x v="1"/>
    <x v="1"/>
    <s v="No"/>
    <x v="3"/>
    <d v="2012-02-04T00:00:00"/>
    <d v="1990-01-01T00:00:00"/>
    <x v="0"/>
    <x v="0"/>
    <x v="0"/>
    <x v="8"/>
    <x v="0"/>
    <x v="1"/>
    <x v="25"/>
    <x v="1"/>
    <x v="0"/>
    <d v="2019-01-14T00:00:00"/>
    <n v="0"/>
    <x v="15"/>
    <n v="40"/>
    <x v="1"/>
  </r>
  <r>
    <x v="220"/>
    <n v="10016"/>
    <x v="218"/>
    <x v="5"/>
    <x v="0"/>
    <n v="1886"/>
    <d v="1984-09-16T00:00:00"/>
    <x v="1"/>
    <x v="1"/>
    <x v="0"/>
    <s v="No"/>
    <x v="1"/>
    <d v="2014-10-11T00:00:00"/>
    <d v="1990-01-01T00:00:00"/>
    <x v="0"/>
    <x v="0"/>
    <x v="1"/>
    <x v="1"/>
    <x v="3"/>
    <x v="0"/>
    <x v="0"/>
    <x v="0"/>
    <x v="4"/>
    <d v="2019-04-01T00:00:00"/>
    <n v="0"/>
    <x v="7"/>
    <n v="35"/>
    <x v="0"/>
  </r>
  <r>
    <x v="221"/>
    <n v="10050"/>
    <x v="219"/>
    <x v="0"/>
    <x v="0"/>
    <n v="2451"/>
    <d v="1988-06-03T00:00:00"/>
    <x v="0"/>
    <x v="1"/>
    <x v="0"/>
    <s v="No"/>
    <x v="3"/>
    <d v="2011-05-07T00:00:00"/>
    <d v="2012-11-30T00:00:00"/>
    <x v="11"/>
    <x v="1"/>
    <x v="0"/>
    <x v="8"/>
    <x v="2"/>
    <x v="1"/>
    <x v="4"/>
    <x v="1"/>
    <x v="0"/>
    <d v="2012-02-20T00:00:00"/>
    <n v="0"/>
    <x v="13"/>
    <n v="31"/>
    <x v="0"/>
  </r>
  <r>
    <x v="222"/>
    <n v="10164"/>
    <x v="220"/>
    <x v="0"/>
    <x v="0"/>
    <n v="2451"/>
    <d v="1981-11-23T00:00:00"/>
    <x v="0"/>
    <x v="0"/>
    <x v="0"/>
    <s v="No"/>
    <x v="0"/>
    <d v="2007-05-11T00:00:00"/>
    <d v="1990-01-01T00:00:00"/>
    <x v="0"/>
    <x v="0"/>
    <x v="0"/>
    <x v="10"/>
    <x v="2"/>
    <x v="1"/>
    <x v="53"/>
    <x v="1"/>
    <x v="0"/>
    <d v="2019-02-25T00:00:00"/>
    <n v="0"/>
    <x v="3"/>
    <n v="38"/>
    <x v="0"/>
  </r>
  <r>
    <x v="223"/>
    <n v="10124"/>
    <x v="221"/>
    <x v="11"/>
    <x v="20"/>
    <n v="40220"/>
    <d v="1988-08-29T00:00:00"/>
    <x v="1"/>
    <x v="1"/>
    <x v="0"/>
    <s v="No"/>
    <x v="1"/>
    <d v="2012-09-01T00:00:00"/>
    <d v="1990-01-01T00:00:00"/>
    <x v="0"/>
    <x v="0"/>
    <x v="4"/>
    <x v="16"/>
    <x v="7"/>
    <x v="1"/>
    <x v="7"/>
    <x v="0"/>
    <x v="0"/>
    <d v="2019-01-02T00:00:00"/>
    <n v="0"/>
    <x v="9"/>
    <n v="31"/>
    <x v="0"/>
  </r>
  <r>
    <x v="224"/>
    <n v="10187"/>
    <x v="222"/>
    <x v="0"/>
    <x v="0"/>
    <n v="1742"/>
    <d v="1984-10-15T00:00:00"/>
    <x v="1"/>
    <x v="2"/>
    <x v="1"/>
    <s v="No"/>
    <x v="3"/>
    <d v="2011-05-16T00:00:00"/>
    <d v="2018-04-06T00:00:00"/>
    <x v="4"/>
    <x v="1"/>
    <x v="0"/>
    <x v="2"/>
    <x v="2"/>
    <x v="1"/>
    <x v="95"/>
    <x v="2"/>
    <x v="0"/>
    <d v="2018-02-04T00:00:00"/>
    <n v="0"/>
    <x v="15"/>
    <n v="35"/>
    <x v="0"/>
  </r>
  <r>
    <x v="225"/>
    <n v="10225"/>
    <x v="223"/>
    <x v="0"/>
    <x v="0"/>
    <n v="2109"/>
    <d v="1961-06-19T00:00:00"/>
    <x v="0"/>
    <x v="0"/>
    <x v="0"/>
    <s v="No"/>
    <x v="0"/>
    <d v="2014-06-01T00:00:00"/>
    <d v="1990-01-01T00:00:00"/>
    <x v="0"/>
    <x v="0"/>
    <x v="0"/>
    <x v="11"/>
    <x v="3"/>
    <x v="1"/>
    <x v="12"/>
    <x v="1"/>
    <x v="0"/>
    <d v="2019-07-01T00:00:00"/>
    <n v="0"/>
    <x v="15"/>
    <n v="58"/>
    <x v="2"/>
  </r>
  <r>
    <x v="226"/>
    <n v="10262"/>
    <x v="224"/>
    <x v="0"/>
    <x v="0"/>
    <n v="2474"/>
    <d v="1970-09-22T00:00:00"/>
    <x v="1"/>
    <x v="2"/>
    <x v="0"/>
    <s v="No"/>
    <x v="0"/>
    <d v="2012-09-24T00:00:00"/>
    <d v="2013-06-18T00:00:00"/>
    <x v="5"/>
    <x v="1"/>
    <x v="0"/>
    <x v="2"/>
    <x v="1"/>
    <x v="1"/>
    <x v="10"/>
    <x v="0"/>
    <x v="0"/>
    <d v="2013-02-04T00:00:00"/>
    <n v="0"/>
    <x v="7"/>
    <n v="49"/>
    <x v="1"/>
  </r>
  <r>
    <x v="227"/>
    <n v="10131"/>
    <x v="225"/>
    <x v="3"/>
    <x v="0"/>
    <n v="2045"/>
    <d v="1984-06-11T00:00:00"/>
    <x v="0"/>
    <x v="1"/>
    <x v="1"/>
    <s v="No"/>
    <x v="1"/>
    <d v="2011-02-21T00:00:00"/>
    <d v="2015-08-15T00:00:00"/>
    <x v="1"/>
    <x v="1"/>
    <x v="2"/>
    <x v="13"/>
    <x v="4"/>
    <x v="1"/>
    <x v="96"/>
    <x v="2"/>
    <x v="0"/>
    <d v="2014-04-19T00:00:00"/>
    <n v="0"/>
    <x v="6"/>
    <n v="35"/>
    <x v="0"/>
  </r>
  <r>
    <x v="228"/>
    <n v="10239"/>
    <x v="226"/>
    <x v="17"/>
    <x v="0"/>
    <n v="2110"/>
    <d v="1980-12-05T00:00:00"/>
    <x v="1"/>
    <x v="1"/>
    <x v="0"/>
    <s v="No"/>
    <x v="1"/>
    <d v="2016-02-10T00:00:00"/>
    <d v="1990-01-01T00:00:00"/>
    <x v="0"/>
    <x v="0"/>
    <x v="1"/>
    <x v="19"/>
    <x v="1"/>
    <x v="1"/>
    <x v="9"/>
    <x v="2"/>
    <x v="1"/>
    <d v="2019-06-02T00:00:00"/>
    <n v="0"/>
    <x v="18"/>
    <n v="39"/>
    <x v="0"/>
  </r>
  <r>
    <x v="229"/>
    <n v="10152"/>
    <x v="227"/>
    <x v="0"/>
    <x v="0"/>
    <n v="2478"/>
    <d v="1984-12-31T00:00:00"/>
    <x v="0"/>
    <x v="2"/>
    <x v="0"/>
    <s v="No"/>
    <x v="0"/>
    <d v="2011-09-26T00:00:00"/>
    <d v="2018-07-04T00:00:00"/>
    <x v="11"/>
    <x v="1"/>
    <x v="0"/>
    <x v="0"/>
    <x v="1"/>
    <x v="1"/>
    <x v="23"/>
    <x v="0"/>
    <x v="0"/>
    <d v="2018-04-02T00:00:00"/>
    <n v="0"/>
    <x v="5"/>
    <n v="35"/>
    <x v="0"/>
  </r>
  <r>
    <x v="230"/>
    <n v="10140"/>
    <x v="228"/>
    <x v="11"/>
    <x v="21"/>
    <n v="83706"/>
    <d v="1954-12-10T00:00:00"/>
    <x v="0"/>
    <x v="1"/>
    <x v="0"/>
    <s v="No"/>
    <x v="0"/>
    <d v="2014-12-05T00:00:00"/>
    <d v="1990-01-01T00:00:00"/>
    <x v="0"/>
    <x v="0"/>
    <x v="4"/>
    <x v="14"/>
    <x v="6"/>
    <x v="1"/>
    <x v="97"/>
    <x v="1"/>
    <x v="0"/>
    <d v="2019-01-28T00:00:00"/>
    <n v="0"/>
    <x v="6"/>
    <n v="65"/>
    <x v="3"/>
  </r>
  <r>
    <x v="231"/>
    <n v="10058"/>
    <x v="229"/>
    <x v="0"/>
    <x v="0"/>
    <n v="2176"/>
    <d v="1982-07-22T00:00:00"/>
    <x v="0"/>
    <x v="2"/>
    <x v="0"/>
    <s v="Yes"/>
    <x v="0"/>
    <d v="2011-05-16T00:00:00"/>
    <d v="2016-01-15T00:00:00"/>
    <x v="9"/>
    <x v="1"/>
    <x v="0"/>
    <x v="3"/>
    <x v="0"/>
    <x v="1"/>
    <x v="4"/>
    <x v="2"/>
    <x v="0"/>
    <d v="2015-03-30T00:00:00"/>
    <n v="0"/>
    <x v="17"/>
    <n v="37"/>
    <x v="0"/>
  </r>
  <r>
    <x v="232"/>
    <n v="10011"/>
    <x v="230"/>
    <x v="0"/>
    <x v="0"/>
    <n v="2171"/>
    <d v="1973-12-01T00:00:00"/>
    <x v="1"/>
    <x v="1"/>
    <x v="0"/>
    <s v="No"/>
    <x v="3"/>
    <d v="2011-11-28T00:00:00"/>
    <d v="1990-01-01T00:00:00"/>
    <x v="0"/>
    <x v="0"/>
    <x v="0"/>
    <x v="4"/>
    <x v="2"/>
    <x v="0"/>
    <x v="98"/>
    <x v="0"/>
    <x v="0"/>
    <d v="2019-11-02T00:00:00"/>
    <n v="0"/>
    <x v="7"/>
    <n v="46"/>
    <x v="1"/>
  </r>
  <r>
    <x v="233"/>
    <n v="10230"/>
    <x v="231"/>
    <x v="2"/>
    <x v="0"/>
    <n v="1902"/>
    <d v="1981-05-09T00:00:00"/>
    <x v="1"/>
    <x v="2"/>
    <x v="1"/>
    <s v="No"/>
    <x v="1"/>
    <d v="2011-09-26T00:00:00"/>
    <d v="2011-10-22T00:00:00"/>
    <x v="3"/>
    <x v="1"/>
    <x v="0"/>
    <x v="10"/>
    <x v="2"/>
    <x v="1"/>
    <x v="10"/>
    <x v="2"/>
    <x v="0"/>
    <d v="2011-10-22T00:00:00"/>
    <n v="0"/>
    <x v="18"/>
    <n v="38"/>
    <x v="0"/>
  </r>
  <r>
    <x v="234"/>
    <n v="10224"/>
    <x v="232"/>
    <x v="2"/>
    <x v="0"/>
    <n v="2138"/>
    <d v="1972-03-07T00:00:00"/>
    <x v="0"/>
    <x v="1"/>
    <x v="0"/>
    <s v="No"/>
    <x v="0"/>
    <d v="2011-05-07T00:00:00"/>
    <d v="2012-08-02T00:00:00"/>
    <x v="4"/>
    <x v="1"/>
    <x v="0"/>
    <x v="2"/>
    <x v="1"/>
    <x v="1"/>
    <x v="7"/>
    <x v="0"/>
    <x v="0"/>
    <d v="2012-06-01T00:00:00"/>
    <n v="0"/>
    <x v="13"/>
    <n v="47"/>
    <x v="1"/>
  </r>
  <r>
    <x v="235"/>
    <n v="10047"/>
    <x v="233"/>
    <x v="0"/>
    <x v="0"/>
    <n v="1420"/>
    <d v="1974-07-01T00:00:00"/>
    <x v="0"/>
    <x v="1"/>
    <x v="0"/>
    <s v="No"/>
    <x v="1"/>
    <d v="2011-10-01T00:00:00"/>
    <d v="2016-01-26T00:00:00"/>
    <x v="6"/>
    <x v="1"/>
    <x v="0"/>
    <x v="5"/>
    <x v="1"/>
    <x v="1"/>
    <x v="4"/>
    <x v="1"/>
    <x v="0"/>
    <d v="2015-10-01T00:00:00"/>
    <n v="0"/>
    <x v="17"/>
    <n v="45"/>
    <x v="1"/>
  </r>
  <r>
    <x v="236"/>
    <n v="10285"/>
    <x v="234"/>
    <x v="0"/>
    <x v="0"/>
    <n v="1460"/>
    <d v="1985-07-01T00:00:00"/>
    <x v="1"/>
    <x v="1"/>
    <x v="0"/>
    <s v="No"/>
    <x v="0"/>
    <d v="2011-10-01T00:00:00"/>
    <d v="2016-05-17T00:00:00"/>
    <x v="6"/>
    <x v="2"/>
    <x v="0"/>
    <x v="7"/>
    <x v="1"/>
    <x v="2"/>
    <x v="62"/>
    <x v="1"/>
    <x v="0"/>
    <d v="2016-05-04T00:00:00"/>
    <n v="4"/>
    <x v="7"/>
    <n v="34"/>
    <x v="0"/>
  </r>
  <r>
    <x v="237"/>
    <n v="10020"/>
    <x v="235"/>
    <x v="0"/>
    <x v="0"/>
    <n v="1730"/>
    <d v="1985-01-28T00:00:00"/>
    <x v="0"/>
    <x v="3"/>
    <x v="0"/>
    <s v="No"/>
    <x v="0"/>
    <d v="2013-08-07T00:00:00"/>
    <d v="1990-01-01T00:00:00"/>
    <x v="0"/>
    <x v="0"/>
    <x v="0"/>
    <x v="8"/>
    <x v="3"/>
    <x v="0"/>
    <x v="62"/>
    <x v="0"/>
    <x v="0"/>
    <d v="2019-11-02T00:00:00"/>
    <n v="0"/>
    <x v="6"/>
    <n v="34"/>
    <x v="0"/>
  </r>
  <r>
    <x v="238"/>
    <n v="10162"/>
    <x v="236"/>
    <x v="5"/>
    <x v="0"/>
    <n v="1886"/>
    <d v="1981-11-10T00:00:00"/>
    <x v="1"/>
    <x v="1"/>
    <x v="0"/>
    <s v="No"/>
    <x v="0"/>
    <d v="2015-02-16T00:00:00"/>
    <d v="1990-01-01T00:00:00"/>
    <x v="0"/>
    <x v="0"/>
    <x v="1"/>
    <x v="1"/>
    <x v="3"/>
    <x v="1"/>
    <x v="99"/>
    <x v="0"/>
    <x v="1"/>
    <d v="2019-02-14T00:00:00"/>
    <n v="0"/>
    <x v="3"/>
    <n v="38"/>
    <x v="0"/>
  </r>
  <r>
    <x v="239"/>
    <n v="10149"/>
    <x v="237"/>
    <x v="27"/>
    <x v="0"/>
    <n v="2703"/>
    <d v="1973-05-27T00:00:00"/>
    <x v="1"/>
    <x v="0"/>
    <x v="0"/>
    <s v="Yes"/>
    <x v="0"/>
    <d v="2015-05-01T00:00:00"/>
    <d v="2018-10-11T00:00:00"/>
    <x v="4"/>
    <x v="1"/>
    <x v="1"/>
    <x v="1"/>
    <x v="0"/>
    <x v="1"/>
    <x v="41"/>
    <x v="1"/>
    <x v="4"/>
    <d v="2018-02-13T00:00:00"/>
    <n v="0"/>
    <x v="8"/>
    <n v="46"/>
    <x v="1"/>
  </r>
  <r>
    <x v="240"/>
    <n v="10086"/>
    <x v="238"/>
    <x v="28"/>
    <x v="0"/>
    <n v="2056"/>
    <d v="1972-11-21T00:00:00"/>
    <x v="1"/>
    <x v="0"/>
    <x v="0"/>
    <s v="No"/>
    <x v="1"/>
    <d v="2017-07-01T00:00:00"/>
    <d v="1990-01-01T00:00:00"/>
    <x v="0"/>
    <x v="0"/>
    <x v="1"/>
    <x v="19"/>
    <x v="1"/>
    <x v="1"/>
    <x v="100"/>
    <x v="1"/>
    <x v="3"/>
    <d v="2019-06-02T00:00:00"/>
    <n v="0"/>
    <x v="1"/>
    <n v="47"/>
    <x v="1"/>
  </r>
  <r>
    <x v="241"/>
    <n v="10054"/>
    <x v="239"/>
    <x v="0"/>
    <x v="0"/>
    <n v="1886"/>
    <d v="1974-05-12T00:00:00"/>
    <x v="1"/>
    <x v="4"/>
    <x v="0"/>
    <s v="No"/>
    <x v="0"/>
    <d v="2014-06-01T00:00:00"/>
    <d v="1990-01-01T00:00:00"/>
    <x v="0"/>
    <x v="0"/>
    <x v="0"/>
    <x v="10"/>
    <x v="7"/>
    <x v="1"/>
    <x v="4"/>
    <x v="2"/>
    <x v="0"/>
    <d v="2019-01-31T00:00:00"/>
    <n v="0"/>
    <x v="12"/>
    <n v="45"/>
    <x v="1"/>
  </r>
  <r>
    <x v="242"/>
    <n v="10065"/>
    <x v="240"/>
    <x v="0"/>
    <x v="0"/>
    <n v="2155"/>
    <d v="1987-03-18T00:00:00"/>
    <x v="0"/>
    <x v="0"/>
    <x v="0"/>
    <s v="No"/>
    <x v="0"/>
    <d v="2011-04-04T00:00:00"/>
    <d v="2018-08-13T00:00:00"/>
    <x v="4"/>
    <x v="1"/>
    <x v="0"/>
    <x v="2"/>
    <x v="2"/>
    <x v="1"/>
    <x v="4"/>
    <x v="0"/>
    <x v="0"/>
    <d v="2018-02-07T00:00:00"/>
    <n v="0"/>
    <x v="6"/>
    <n v="32"/>
    <x v="0"/>
  </r>
  <r>
    <x v="243"/>
    <n v="10198"/>
    <x v="241"/>
    <x v="29"/>
    <x v="0"/>
    <n v="2481"/>
    <d v="1973-05-04T00:00:00"/>
    <x v="0"/>
    <x v="0"/>
    <x v="0"/>
    <s v="No"/>
    <x v="0"/>
    <d v="2013-01-20T00:00:00"/>
    <d v="1990-01-01T00:00:00"/>
    <x v="0"/>
    <x v="0"/>
    <x v="1"/>
    <x v="15"/>
    <x v="1"/>
    <x v="1"/>
    <x v="62"/>
    <x v="0"/>
    <x v="4"/>
    <d v="2019-02-18T00:00:00"/>
    <n v="0"/>
    <x v="13"/>
    <n v="46"/>
    <x v="1"/>
  </r>
  <r>
    <x v="244"/>
    <n v="10222"/>
    <x v="242"/>
    <x v="29"/>
    <x v="0"/>
    <n v="1915"/>
    <d v="1964-04-01T00:00:00"/>
    <x v="0"/>
    <x v="2"/>
    <x v="0"/>
    <s v="No"/>
    <x v="1"/>
    <d v="2012-09-01T00:00:00"/>
    <d v="2015-04-11T00:00:00"/>
    <x v="2"/>
    <x v="1"/>
    <x v="1"/>
    <x v="15"/>
    <x v="4"/>
    <x v="1"/>
    <x v="25"/>
    <x v="2"/>
    <x v="1"/>
    <d v="2015-04-01T00:00:00"/>
    <n v="0"/>
    <x v="12"/>
    <n v="55"/>
    <x v="2"/>
  </r>
  <r>
    <x v="245"/>
    <n v="10126"/>
    <x v="243"/>
    <x v="3"/>
    <x v="0"/>
    <n v="2132"/>
    <d v="1986-07-24T00:00:00"/>
    <x v="1"/>
    <x v="1"/>
    <x v="0"/>
    <s v="No"/>
    <x v="0"/>
    <d v="2012-05-11T00:00:00"/>
    <d v="1990-01-01T00:00:00"/>
    <x v="0"/>
    <x v="0"/>
    <x v="2"/>
    <x v="6"/>
    <x v="1"/>
    <x v="1"/>
    <x v="7"/>
    <x v="1"/>
    <x v="1"/>
    <d v="2019-02-13T00:00:00"/>
    <n v="0"/>
    <x v="4"/>
    <n v="33"/>
    <x v="0"/>
  </r>
  <r>
    <x v="246"/>
    <n v="10295"/>
    <x v="244"/>
    <x v="0"/>
    <x v="0"/>
    <n v="1801"/>
    <d v="1968-06-06T00:00:00"/>
    <x v="1"/>
    <x v="0"/>
    <x v="0"/>
    <s v="No"/>
    <x v="1"/>
    <d v="2016-04-07T00:00:00"/>
    <d v="1990-01-01T00:00:00"/>
    <x v="0"/>
    <x v="0"/>
    <x v="0"/>
    <x v="11"/>
    <x v="4"/>
    <x v="2"/>
    <x v="101"/>
    <x v="2"/>
    <x v="0"/>
    <d v="2019-02-18T00:00:00"/>
    <n v="5"/>
    <x v="6"/>
    <n v="51"/>
    <x v="2"/>
  </r>
  <r>
    <x v="247"/>
    <n v="10260"/>
    <x v="245"/>
    <x v="0"/>
    <x v="0"/>
    <n v="2148"/>
    <d v="1974-12-21T00:00:00"/>
    <x v="0"/>
    <x v="0"/>
    <x v="0"/>
    <s v="No"/>
    <x v="0"/>
    <d v="2009-05-01T00:00:00"/>
    <d v="2018-07-30T00:00:00"/>
    <x v="10"/>
    <x v="1"/>
    <x v="0"/>
    <x v="0"/>
    <x v="2"/>
    <x v="1"/>
    <x v="0"/>
    <x v="0"/>
    <x v="0"/>
    <d v="2018-05-02T00:00:00"/>
    <n v="0"/>
    <x v="10"/>
    <n v="45"/>
    <x v="1"/>
  </r>
  <r>
    <x v="248"/>
    <n v="10233"/>
    <x v="246"/>
    <x v="2"/>
    <x v="0"/>
    <n v="2062"/>
    <d v="1986-04-26T00:00:00"/>
    <x v="0"/>
    <x v="1"/>
    <x v="0"/>
    <s v="No"/>
    <x v="0"/>
    <d v="2010-08-30T00:00:00"/>
    <d v="1990-01-01T00:00:00"/>
    <x v="0"/>
    <x v="0"/>
    <x v="0"/>
    <x v="11"/>
    <x v="6"/>
    <x v="1"/>
    <x v="28"/>
    <x v="1"/>
    <x v="0"/>
    <d v="2019-10-01T00:00:00"/>
    <n v="0"/>
    <x v="13"/>
    <n v="33"/>
    <x v="0"/>
  </r>
  <r>
    <x v="249"/>
    <n v="10229"/>
    <x v="247"/>
    <x v="30"/>
    <x v="0"/>
    <n v="2452"/>
    <d v="1987-12-17T00:00:00"/>
    <x v="0"/>
    <x v="2"/>
    <x v="0"/>
    <s v="No"/>
    <x v="1"/>
    <d v="2015-05-01T00:00:00"/>
    <d v="2015-10-31T00:00:00"/>
    <x v="2"/>
    <x v="1"/>
    <x v="1"/>
    <x v="1"/>
    <x v="0"/>
    <x v="1"/>
    <x v="7"/>
    <x v="1"/>
    <x v="3"/>
    <d v="2015-04-20T00:00:00"/>
    <n v="0"/>
    <x v="4"/>
    <n v="32"/>
    <x v="0"/>
  </r>
  <r>
    <x v="250"/>
    <n v="10169"/>
    <x v="248"/>
    <x v="0"/>
    <x v="0"/>
    <n v="2154"/>
    <d v="1988-10-07T00:00:00"/>
    <x v="1"/>
    <x v="1"/>
    <x v="0"/>
    <s v="No"/>
    <x v="1"/>
    <d v="2014-09-29T00:00:00"/>
    <d v="1990-01-01T00:00:00"/>
    <x v="0"/>
    <x v="0"/>
    <x v="0"/>
    <x v="3"/>
    <x v="0"/>
    <x v="1"/>
    <x v="102"/>
    <x v="1"/>
    <x v="0"/>
    <d v="2019-02-18T00:00:00"/>
    <n v="0"/>
    <x v="4"/>
    <n v="31"/>
    <x v="0"/>
  </r>
  <r>
    <x v="251"/>
    <n v="10071"/>
    <x v="249"/>
    <x v="0"/>
    <x v="0"/>
    <n v="2191"/>
    <d v="1975-10-03T00:00:00"/>
    <x v="1"/>
    <x v="0"/>
    <x v="0"/>
    <s v="No"/>
    <x v="3"/>
    <d v="2013-09-30T00:00:00"/>
    <d v="1990-01-01T00:00:00"/>
    <x v="0"/>
    <x v="0"/>
    <x v="0"/>
    <x v="4"/>
    <x v="2"/>
    <x v="1"/>
    <x v="4"/>
    <x v="0"/>
    <x v="0"/>
    <d v="2019-06-02T00:00:00"/>
    <n v="0"/>
    <x v="15"/>
    <n v="44"/>
    <x v="1"/>
  </r>
  <r>
    <x v="252"/>
    <n v="10179"/>
    <x v="250"/>
    <x v="19"/>
    <x v="0"/>
    <n v="1773"/>
    <d v="1981-04-14T00:00:00"/>
    <x v="1"/>
    <x v="1"/>
    <x v="0"/>
    <s v="No"/>
    <x v="0"/>
    <d v="2014-09-30T00:00:00"/>
    <d v="1990-01-01T00:00:00"/>
    <x v="0"/>
    <x v="0"/>
    <x v="1"/>
    <x v="9"/>
    <x v="0"/>
    <x v="1"/>
    <x v="103"/>
    <x v="1"/>
    <x v="1"/>
    <d v="2019-07-01T00:00:00"/>
    <n v="0"/>
    <x v="10"/>
    <n v="38"/>
    <x v="0"/>
  </r>
  <r>
    <x v="253"/>
    <n v="10091"/>
    <x v="251"/>
    <x v="0"/>
    <x v="0"/>
    <n v="2149"/>
    <d v="1985-08-24T00:00:00"/>
    <x v="1"/>
    <x v="1"/>
    <x v="0"/>
    <s v="No"/>
    <x v="0"/>
    <d v="2013-08-19T00:00:00"/>
    <d v="1990-01-01T00:00:00"/>
    <x v="0"/>
    <x v="0"/>
    <x v="0"/>
    <x v="5"/>
    <x v="0"/>
    <x v="1"/>
    <x v="104"/>
    <x v="2"/>
    <x v="0"/>
    <d v="2019-02-15T00:00:00"/>
    <n v="0"/>
    <x v="3"/>
    <n v="34"/>
    <x v="0"/>
  </r>
  <r>
    <x v="254"/>
    <n v="10178"/>
    <x v="252"/>
    <x v="5"/>
    <x v="0"/>
    <n v="2110"/>
    <d v="1970-08-02T00:00:00"/>
    <x v="0"/>
    <x v="1"/>
    <x v="0"/>
    <s v="Yes"/>
    <x v="0"/>
    <d v="2015-05-01T00:00:00"/>
    <d v="1990-01-01T00:00:00"/>
    <x v="0"/>
    <x v="0"/>
    <x v="1"/>
    <x v="1"/>
    <x v="3"/>
    <x v="1"/>
    <x v="105"/>
    <x v="1"/>
    <x v="4"/>
    <d v="2019-01-14T00:00:00"/>
    <n v="0"/>
    <x v="7"/>
    <n v="49"/>
    <x v="1"/>
  </r>
  <r>
    <x v="255"/>
    <n v="10039"/>
    <x v="253"/>
    <x v="22"/>
    <x v="0"/>
    <n v="2330"/>
    <d v="1988-05-19T00:00:00"/>
    <x v="1"/>
    <x v="0"/>
    <x v="0"/>
    <s v="No"/>
    <x v="0"/>
    <d v="2015-01-05T00:00:00"/>
    <d v="1990-01-01T00:00:00"/>
    <x v="0"/>
    <x v="0"/>
    <x v="3"/>
    <x v="12"/>
    <x v="7"/>
    <x v="1"/>
    <x v="4"/>
    <x v="1"/>
    <x v="3"/>
    <d v="2019-01-15T00:00:00"/>
    <n v="0"/>
    <x v="4"/>
    <n v="31"/>
    <x v="0"/>
  </r>
  <r>
    <x v="256"/>
    <n v="10095"/>
    <x v="254"/>
    <x v="2"/>
    <x v="0"/>
    <n v="1851"/>
    <d v="1987-11-25T00:00:00"/>
    <x v="1"/>
    <x v="0"/>
    <x v="0"/>
    <s v="No"/>
    <x v="0"/>
    <d v="2009-10-26T00:00:00"/>
    <d v="2015-08-04T00:00:00"/>
    <x v="15"/>
    <x v="1"/>
    <x v="0"/>
    <x v="0"/>
    <x v="6"/>
    <x v="1"/>
    <x v="106"/>
    <x v="2"/>
    <x v="0"/>
    <d v="2015-02-04T00:00:00"/>
    <n v="0"/>
    <x v="11"/>
    <n v="32"/>
    <x v="0"/>
  </r>
  <r>
    <x v="257"/>
    <n v="10027"/>
    <x v="255"/>
    <x v="2"/>
    <x v="0"/>
    <n v="2045"/>
    <d v="1963-10-30T00:00:00"/>
    <x v="0"/>
    <x v="0"/>
    <x v="0"/>
    <s v="No"/>
    <x v="0"/>
    <d v="2014-09-29T00:00:00"/>
    <d v="1990-01-01T00:00:00"/>
    <x v="0"/>
    <x v="0"/>
    <x v="0"/>
    <x v="3"/>
    <x v="1"/>
    <x v="0"/>
    <x v="25"/>
    <x v="1"/>
    <x v="0"/>
    <d v="2019-01-28T00:00:00"/>
    <n v="0"/>
    <x v="6"/>
    <n v="56"/>
    <x v="2"/>
  </r>
  <r>
    <x v="258"/>
    <n v="10291"/>
    <x v="256"/>
    <x v="16"/>
    <x v="0"/>
    <n v="1886"/>
    <d v="1984-08-16T00:00:00"/>
    <x v="0"/>
    <x v="2"/>
    <x v="0"/>
    <s v="No"/>
    <x v="1"/>
    <d v="2014-05-18T00:00:00"/>
    <d v="1990-01-01T00:00:00"/>
    <x v="0"/>
    <x v="0"/>
    <x v="4"/>
    <x v="18"/>
    <x v="4"/>
    <x v="2"/>
    <x v="92"/>
    <x v="2"/>
    <x v="0"/>
    <d v="2019-01-16T00:00:00"/>
    <n v="2"/>
    <x v="7"/>
    <n v="35"/>
    <x v="0"/>
  </r>
  <r>
    <x v="259"/>
    <n v="10153"/>
    <x v="257"/>
    <x v="22"/>
    <x v="0"/>
    <n v="1844"/>
    <d v="1987-06-14T00:00:00"/>
    <x v="1"/>
    <x v="1"/>
    <x v="0"/>
    <s v="No"/>
    <x v="1"/>
    <d v="2011-09-26T00:00:00"/>
    <d v="2013-09-25T00:00:00"/>
    <x v="1"/>
    <x v="1"/>
    <x v="3"/>
    <x v="12"/>
    <x v="4"/>
    <x v="1"/>
    <x v="23"/>
    <x v="2"/>
    <x v="2"/>
    <d v="2013-08-15T00:00:00"/>
    <n v="0"/>
    <x v="1"/>
    <n v="32"/>
    <x v="0"/>
  </r>
  <r>
    <x v="260"/>
    <n v="10157"/>
    <x v="258"/>
    <x v="0"/>
    <x v="0"/>
    <n v="2130"/>
    <d v="1965-02-02T00:00:00"/>
    <x v="1"/>
    <x v="0"/>
    <x v="0"/>
    <s v="No"/>
    <x v="0"/>
    <d v="2013-11-11T00:00:00"/>
    <d v="1990-01-01T00:00:00"/>
    <x v="0"/>
    <x v="0"/>
    <x v="0"/>
    <x v="7"/>
    <x v="3"/>
    <x v="1"/>
    <x v="54"/>
    <x v="1"/>
    <x v="0"/>
    <d v="2019-01-24T00:00:00"/>
    <n v="0"/>
    <x v="7"/>
    <n v="54"/>
    <x v="2"/>
  </r>
  <r>
    <x v="261"/>
    <n v="10119"/>
    <x v="259"/>
    <x v="4"/>
    <x v="0"/>
    <n v="2360"/>
    <d v="1973-12-03T00:00:00"/>
    <x v="1"/>
    <x v="1"/>
    <x v="0"/>
    <s v="No"/>
    <x v="1"/>
    <d v="2011-10-06T00:00:00"/>
    <d v="1990-01-01T00:00:00"/>
    <x v="0"/>
    <x v="0"/>
    <x v="1"/>
    <x v="17"/>
    <x v="0"/>
    <x v="1"/>
    <x v="25"/>
    <x v="1"/>
    <x v="3"/>
    <d v="2019-08-02T00:00:00"/>
    <n v="0"/>
    <x v="5"/>
    <n v="46"/>
    <x v="1"/>
  </r>
  <r>
    <x v="262"/>
    <n v="10180"/>
    <x v="260"/>
    <x v="15"/>
    <x v="0"/>
    <n v="1545"/>
    <d v="1983-09-02T00:00:00"/>
    <x v="0"/>
    <x v="1"/>
    <x v="0"/>
    <s v="No"/>
    <x v="3"/>
    <d v="2016-06-30T00:00:00"/>
    <d v="1990-01-01T00:00:00"/>
    <x v="0"/>
    <x v="0"/>
    <x v="1"/>
    <x v="9"/>
    <x v="0"/>
    <x v="1"/>
    <x v="107"/>
    <x v="2"/>
    <x v="3"/>
    <d v="2019-01-14T00:00:00"/>
    <n v="0"/>
    <x v="13"/>
    <n v="36"/>
    <x v="0"/>
  </r>
  <r>
    <x v="263"/>
    <n v="10302"/>
    <x v="261"/>
    <x v="0"/>
    <x v="0"/>
    <n v="2093"/>
    <d v="1968-07-20T00:00:00"/>
    <x v="1"/>
    <x v="1"/>
    <x v="0"/>
    <s v="No"/>
    <x v="0"/>
    <d v="2012-02-20T00:00:00"/>
    <d v="1990-01-01T00:00:00"/>
    <x v="0"/>
    <x v="0"/>
    <x v="0"/>
    <x v="8"/>
    <x v="1"/>
    <x v="3"/>
    <x v="92"/>
    <x v="3"/>
    <x v="8"/>
    <d v="2019-02-25T00:00:00"/>
    <n v="6"/>
    <x v="11"/>
    <n v="51"/>
    <x v="2"/>
  </r>
  <r>
    <x v="264"/>
    <n v="10090"/>
    <x v="262"/>
    <x v="9"/>
    <x v="0"/>
    <n v="2451"/>
    <d v="1975-09-30T00:00:00"/>
    <x v="1"/>
    <x v="1"/>
    <x v="0"/>
    <s v="No"/>
    <x v="0"/>
    <d v="2012-02-10T00:00:00"/>
    <d v="1990-01-01T00:00:00"/>
    <x v="0"/>
    <x v="0"/>
    <x v="0"/>
    <x v="13"/>
    <x v="0"/>
    <x v="1"/>
    <x v="71"/>
    <x v="0"/>
    <x v="0"/>
    <d v="2019-02-14T00:00:00"/>
    <n v="0"/>
    <x v="3"/>
    <n v="44"/>
    <x v="1"/>
  </r>
  <r>
    <x v="265"/>
    <n v="10030"/>
    <x v="263"/>
    <x v="0"/>
    <x v="0"/>
    <n v="2359"/>
    <d v="1973-03-26T00:00:00"/>
    <x v="1"/>
    <x v="2"/>
    <x v="0"/>
    <s v="No"/>
    <x v="0"/>
    <d v="2013-05-13T00:00:00"/>
    <d v="2015-06-29T00:00:00"/>
    <x v="5"/>
    <x v="1"/>
    <x v="0"/>
    <x v="10"/>
    <x v="0"/>
    <x v="0"/>
    <x v="28"/>
    <x v="2"/>
    <x v="0"/>
    <d v="2015-02-03T00:00:00"/>
    <n v="0"/>
    <x v="7"/>
    <n v="46"/>
    <x v="1"/>
  </r>
  <r>
    <x v="266"/>
    <n v="10278"/>
    <x v="264"/>
    <x v="0"/>
    <x v="0"/>
    <n v="2050"/>
    <d v="1982-08-25T00:00:00"/>
    <x v="1"/>
    <x v="2"/>
    <x v="0"/>
    <s v="No"/>
    <x v="2"/>
    <d v="2011-10-01T00:00:00"/>
    <d v="1990-01-01T00:00:00"/>
    <x v="0"/>
    <x v="0"/>
    <x v="0"/>
    <x v="2"/>
    <x v="2"/>
    <x v="1"/>
    <x v="28"/>
    <x v="2"/>
    <x v="0"/>
    <d v="2019-07-02T00:00:00"/>
    <n v="0"/>
    <x v="9"/>
    <n v="37"/>
    <x v="0"/>
  </r>
  <r>
    <x v="267"/>
    <n v="10307"/>
    <x v="265"/>
    <x v="11"/>
    <x v="22"/>
    <n v="89139"/>
    <d v="1974-09-05T00:00:00"/>
    <x v="0"/>
    <x v="1"/>
    <x v="0"/>
    <s v="No"/>
    <x v="0"/>
    <d v="2014-12-05T00:00:00"/>
    <d v="1990-01-01T00:00:00"/>
    <x v="0"/>
    <x v="0"/>
    <x v="4"/>
    <x v="16"/>
    <x v="7"/>
    <x v="3"/>
    <x v="108"/>
    <x v="3"/>
    <x v="0"/>
    <d v="2019-01-17T00:00:00"/>
    <n v="3"/>
    <x v="14"/>
    <n v="45"/>
    <x v="1"/>
  </r>
  <r>
    <x v="268"/>
    <n v="10147"/>
    <x v="266"/>
    <x v="10"/>
    <x v="0"/>
    <n v="2703"/>
    <d v="1986-01-09T00:00:00"/>
    <x v="0"/>
    <x v="0"/>
    <x v="0"/>
    <s v="No"/>
    <x v="0"/>
    <d v="2014-09-29T00:00:00"/>
    <d v="1990-01-01T00:00:00"/>
    <x v="0"/>
    <x v="0"/>
    <x v="3"/>
    <x v="12"/>
    <x v="1"/>
    <x v="1"/>
    <x v="57"/>
    <x v="0"/>
    <x v="3"/>
    <d v="2019-01-18T00:00:00"/>
    <n v="0"/>
    <x v="9"/>
    <n v="33"/>
    <x v="0"/>
  </r>
  <r>
    <x v="269"/>
    <n v="10266"/>
    <x v="267"/>
    <x v="0"/>
    <x v="0"/>
    <n v="2301"/>
    <d v="1985-03-14T00:00:00"/>
    <x v="0"/>
    <x v="1"/>
    <x v="0"/>
    <s v="No"/>
    <x v="3"/>
    <d v="2014-02-17T00:00:00"/>
    <d v="1990-01-01T00:00:00"/>
    <x v="0"/>
    <x v="0"/>
    <x v="0"/>
    <x v="11"/>
    <x v="0"/>
    <x v="1"/>
    <x v="27"/>
    <x v="1"/>
    <x v="0"/>
    <d v="2019-11-01T00:00:00"/>
    <n v="0"/>
    <x v="6"/>
    <n v="34"/>
    <x v="0"/>
  </r>
  <r>
    <x v="270"/>
    <n v="10241"/>
    <x v="268"/>
    <x v="11"/>
    <x v="23"/>
    <n v="59102"/>
    <d v="1989-12-05T00:00:00"/>
    <x v="1"/>
    <x v="1"/>
    <x v="0"/>
    <s v="No"/>
    <x v="1"/>
    <d v="2010-09-27T00:00:00"/>
    <d v="1990-01-01T00:00:00"/>
    <x v="0"/>
    <x v="0"/>
    <x v="4"/>
    <x v="14"/>
    <x v="1"/>
    <x v="1"/>
    <x v="28"/>
    <x v="2"/>
    <x v="0"/>
    <d v="2019-01-31T00:00:00"/>
    <n v="0"/>
    <x v="19"/>
    <n v="30"/>
    <x v="0"/>
  </r>
  <r>
    <x v="271"/>
    <n v="10158"/>
    <x v="269"/>
    <x v="9"/>
    <x v="0"/>
    <n v="1776"/>
    <d v="1978-03-28T00:00:00"/>
    <x v="1"/>
    <x v="1"/>
    <x v="0"/>
    <s v="No"/>
    <x v="1"/>
    <d v="2009-08-01T00:00:00"/>
    <d v="1990-01-01T00:00:00"/>
    <x v="0"/>
    <x v="0"/>
    <x v="0"/>
    <x v="13"/>
    <x v="1"/>
    <x v="1"/>
    <x v="54"/>
    <x v="2"/>
    <x v="0"/>
    <d v="2019-01-24T00:00:00"/>
    <n v="0"/>
    <x v="8"/>
    <n v="41"/>
    <x v="1"/>
  </r>
  <r>
    <x v="272"/>
    <n v="10117"/>
    <x v="270"/>
    <x v="0"/>
    <x v="0"/>
    <n v="2747"/>
    <d v="1982-07-10T00:00:00"/>
    <x v="0"/>
    <x v="1"/>
    <x v="0"/>
    <s v="Yes"/>
    <x v="0"/>
    <d v="2015-05-01T00:00:00"/>
    <d v="1990-01-01T00:00:00"/>
    <x v="0"/>
    <x v="0"/>
    <x v="0"/>
    <x v="0"/>
    <x v="2"/>
    <x v="1"/>
    <x v="98"/>
    <x v="0"/>
    <x v="0"/>
    <d v="2019-01-24T00:00:00"/>
    <n v="0"/>
    <x v="18"/>
    <n v="37"/>
    <x v="0"/>
  </r>
  <r>
    <x v="273"/>
    <n v="10209"/>
    <x v="271"/>
    <x v="0"/>
    <x v="0"/>
    <n v="2718"/>
    <d v="1968-08-15T00:00:00"/>
    <x v="1"/>
    <x v="0"/>
    <x v="1"/>
    <s v="No"/>
    <x v="3"/>
    <d v="2012-05-14T00:00:00"/>
    <d v="1990-01-01T00:00:00"/>
    <x v="0"/>
    <x v="0"/>
    <x v="0"/>
    <x v="3"/>
    <x v="1"/>
    <x v="1"/>
    <x v="42"/>
    <x v="0"/>
    <x v="0"/>
    <d v="2019-01-31T00:00:00"/>
    <n v="0"/>
    <x v="13"/>
    <n v="51"/>
    <x v="2"/>
  </r>
  <r>
    <x v="274"/>
    <n v="10024"/>
    <x v="272"/>
    <x v="3"/>
    <x v="0"/>
    <n v="2140"/>
    <d v="1983-06-05T00:00:00"/>
    <x v="0"/>
    <x v="0"/>
    <x v="0"/>
    <s v="No"/>
    <x v="0"/>
    <d v="2014-07-07T00:00:00"/>
    <d v="1990-01-01T00:00:00"/>
    <x v="0"/>
    <x v="0"/>
    <x v="2"/>
    <x v="6"/>
    <x v="0"/>
    <x v="0"/>
    <x v="10"/>
    <x v="0"/>
    <x v="3"/>
    <d v="2019-02-18T00:00:00"/>
    <n v="0"/>
    <x v="0"/>
    <n v="36"/>
    <x v="0"/>
  </r>
  <r>
    <x v="275"/>
    <n v="10173"/>
    <x v="273"/>
    <x v="17"/>
    <x v="0"/>
    <n v="2134"/>
    <d v="1987-10-24T00:00:00"/>
    <x v="0"/>
    <x v="1"/>
    <x v="0"/>
    <s v="No"/>
    <x v="0"/>
    <d v="2017-04-20T00:00:00"/>
    <d v="1990-01-01T00:00:00"/>
    <x v="0"/>
    <x v="0"/>
    <x v="1"/>
    <x v="19"/>
    <x v="1"/>
    <x v="1"/>
    <x v="42"/>
    <x v="1"/>
    <x v="1"/>
    <d v="2019-02-01T00:00:00"/>
    <n v="0"/>
    <x v="15"/>
    <n v="32"/>
    <x v="0"/>
  </r>
  <r>
    <x v="276"/>
    <n v="10221"/>
    <x v="274"/>
    <x v="0"/>
    <x v="0"/>
    <n v="1801"/>
    <d v="1975-03-04T00:00:00"/>
    <x v="1"/>
    <x v="1"/>
    <x v="2"/>
    <s v="No"/>
    <x v="1"/>
    <d v="2009-04-27T00:00:00"/>
    <d v="2013-01-04T00:00:00"/>
    <x v="4"/>
    <x v="1"/>
    <x v="0"/>
    <x v="4"/>
    <x v="4"/>
    <x v="1"/>
    <x v="10"/>
    <x v="0"/>
    <x v="0"/>
    <d v="2012-02-15T00:00:00"/>
    <n v="0"/>
    <x v="17"/>
    <n v="44"/>
    <x v="1"/>
  </r>
  <r>
    <x v="277"/>
    <n v="10146"/>
    <x v="275"/>
    <x v="2"/>
    <x v="0"/>
    <n v="2129"/>
    <d v="1953-05-24T00:00:00"/>
    <x v="1"/>
    <x v="1"/>
    <x v="0"/>
    <s v="No"/>
    <x v="0"/>
    <d v="2011-05-16T00:00:00"/>
    <d v="2017-08-07T00:00:00"/>
    <x v="4"/>
    <x v="1"/>
    <x v="0"/>
    <x v="3"/>
    <x v="2"/>
    <x v="1"/>
    <x v="82"/>
    <x v="1"/>
    <x v="0"/>
    <d v="2017-04-18T00:00:00"/>
    <n v="0"/>
    <x v="2"/>
    <n v="66"/>
    <x v="3"/>
  </r>
  <r>
    <x v="278"/>
    <n v="10161"/>
    <x v="276"/>
    <x v="11"/>
    <x v="24"/>
    <n v="97756"/>
    <d v="1965-07-05T00:00:00"/>
    <x v="1"/>
    <x v="0"/>
    <x v="0"/>
    <s v="No"/>
    <x v="1"/>
    <d v="2014-09-29T00:00:00"/>
    <d v="1990-01-01T00:00:00"/>
    <x v="0"/>
    <x v="0"/>
    <x v="4"/>
    <x v="16"/>
    <x v="1"/>
    <x v="1"/>
    <x v="99"/>
    <x v="1"/>
    <x v="0"/>
    <d v="2019-01-28T00:00:00"/>
    <n v="0"/>
    <x v="19"/>
    <n v="54"/>
    <x v="2"/>
  </r>
  <r>
    <x v="279"/>
    <n v="10141"/>
    <x v="277"/>
    <x v="0"/>
    <x v="0"/>
    <n v="2066"/>
    <d v="1965-09-05T00:00:00"/>
    <x v="1"/>
    <x v="0"/>
    <x v="0"/>
    <s v="No"/>
    <x v="0"/>
    <d v="2011-05-07T00:00:00"/>
    <d v="2016-05-09T00:00:00"/>
    <x v="3"/>
    <x v="1"/>
    <x v="0"/>
    <x v="5"/>
    <x v="1"/>
    <x v="1"/>
    <x v="97"/>
    <x v="2"/>
    <x v="0"/>
    <d v="2016-02-03T00:00:00"/>
    <n v="0"/>
    <x v="0"/>
    <n v="54"/>
    <x v="2"/>
  </r>
  <r>
    <x v="280"/>
    <n v="10268"/>
    <x v="278"/>
    <x v="2"/>
    <x v="0"/>
    <n v="2472"/>
    <d v="1975-09-16T00:00:00"/>
    <x v="0"/>
    <x v="3"/>
    <x v="0"/>
    <s v="No"/>
    <x v="0"/>
    <d v="2007-06-25T00:00:00"/>
    <d v="2010-08-30T00:00:00"/>
    <x v="12"/>
    <x v="1"/>
    <x v="0"/>
    <x v="4"/>
    <x v="8"/>
    <x v="1"/>
    <x v="28"/>
    <x v="2"/>
    <x v="0"/>
    <d v="2010-07-14T00:00:00"/>
    <n v="0"/>
    <x v="3"/>
    <n v="44"/>
    <x v="1"/>
  </r>
  <r>
    <x v="281"/>
    <n v="10123"/>
    <x v="279"/>
    <x v="0"/>
    <x v="0"/>
    <n v="2093"/>
    <d v="1967-05-06T00:00:00"/>
    <x v="1"/>
    <x v="2"/>
    <x v="0"/>
    <s v="No"/>
    <x v="1"/>
    <d v="2013-02-18T00:00:00"/>
    <d v="1990-01-01T00:00:00"/>
    <x v="0"/>
    <x v="0"/>
    <x v="0"/>
    <x v="8"/>
    <x v="1"/>
    <x v="1"/>
    <x v="109"/>
    <x v="0"/>
    <x v="0"/>
    <d v="2019-01-14T00:00:00"/>
    <n v="0"/>
    <x v="6"/>
    <n v="52"/>
    <x v="2"/>
  </r>
  <r>
    <x v="282"/>
    <n v="10013"/>
    <x v="280"/>
    <x v="11"/>
    <x v="25"/>
    <n v="58782"/>
    <d v="1968-01-15T00:00:00"/>
    <x v="0"/>
    <x v="4"/>
    <x v="0"/>
    <s v="No"/>
    <x v="0"/>
    <d v="2006-09-01T00:00:00"/>
    <d v="1990-01-01T00:00:00"/>
    <x v="0"/>
    <x v="0"/>
    <x v="4"/>
    <x v="16"/>
    <x v="1"/>
    <x v="0"/>
    <x v="28"/>
    <x v="1"/>
    <x v="0"/>
    <d v="2019-04-01T00:00:00"/>
    <n v="0"/>
    <x v="16"/>
    <n v="51"/>
    <x v="2"/>
  </r>
  <r>
    <x v="283"/>
    <n v="10287"/>
    <x v="270"/>
    <x v="0"/>
    <x v="0"/>
    <n v="2021"/>
    <d v="1983-05-16T00:00:00"/>
    <x v="1"/>
    <x v="0"/>
    <x v="0"/>
    <s v="No"/>
    <x v="0"/>
    <d v="2014-02-17T00:00:00"/>
    <d v="1990-01-01T00:00:00"/>
    <x v="0"/>
    <x v="0"/>
    <x v="0"/>
    <x v="10"/>
    <x v="0"/>
    <x v="2"/>
    <x v="110"/>
    <x v="0"/>
    <x v="0"/>
    <d v="2019-11-02T00:00:00"/>
    <n v="4"/>
    <x v="19"/>
    <n v="36"/>
    <x v="0"/>
  </r>
  <r>
    <x v="284"/>
    <n v="10044"/>
    <x v="281"/>
    <x v="19"/>
    <x v="0"/>
    <n v="1420"/>
    <d v="1988-05-05T00:00:00"/>
    <x v="0"/>
    <x v="1"/>
    <x v="0"/>
    <s v="No"/>
    <x v="0"/>
    <d v="2015-05-01T00:00:00"/>
    <d v="2016-12-02T00:00:00"/>
    <x v="16"/>
    <x v="1"/>
    <x v="1"/>
    <x v="9"/>
    <x v="6"/>
    <x v="1"/>
    <x v="4"/>
    <x v="1"/>
    <x v="3"/>
    <d v="2015-04-15T00:00:00"/>
    <n v="0"/>
    <x v="17"/>
    <n v="31"/>
    <x v="0"/>
  </r>
  <r>
    <x v="285"/>
    <n v="10102"/>
    <x v="282"/>
    <x v="3"/>
    <x v="0"/>
    <n v="2451"/>
    <d v="1983-06-14T00:00:00"/>
    <x v="0"/>
    <x v="0"/>
    <x v="2"/>
    <s v="No"/>
    <x v="1"/>
    <d v="2013-02-18T00:00:00"/>
    <d v="2018-04-15T00:00:00"/>
    <x v="16"/>
    <x v="1"/>
    <x v="2"/>
    <x v="6"/>
    <x v="4"/>
    <x v="1"/>
    <x v="0"/>
    <x v="1"/>
    <x v="2"/>
    <d v="2017-12-02T00:00:00"/>
    <n v="0"/>
    <x v="9"/>
    <n v="36"/>
    <x v="0"/>
  </r>
  <r>
    <x v="286"/>
    <n v="10270"/>
    <x v="283"/>
    <x v="2"/>
    <x v="0"/>
    <n v="1778"/>
    <d v="1985-03-15T00:00:00"/>
    <x v="1"/>
    <x v="0"/>
    <x v="0"/>
    <s v="No"/>
    <x v="0"/>
    <d v="2011-10-01T00:00:00"/>
    <d v="2014-02-07T00:00:00"/>
    <x v="5"/>
    <x v="1"/>
    <x v="0"/>
    <x v="5"/>
    <x v="0"/>
    <x v="1"/>
    <x v="9"/>
    <x v="1"/>
    <x v="0"/>
    <d v="2014-05-01T00:00:00"/>
    <n v="0"/>
    <x v="14"/>
    <n v="34"/>
    <x v="0"/>
  </r>
  <r>
    <x v="287"/>
    <n v="10045"/>
    <x v="284"/>
    <x v="19"/>
    <x v="0"/>
    <n v="2343"/>
    <d v="1969-03-31T00:00:00"/>
    <x v="0"/>
    <x v="1"/>
    <x v="1"/>
    <s v="No"/>
    <x v="0"/>
    <d v="2015-03-30T00:00:00"/>
    <d v="1990-01-01T00:00:00"/>
    <x v="0"/>
    <x v="0"/>
    <x v="1"/>
    <x v="9"/>
    <x v="3"/>
    <x v="1"/>
    <x v="4"/>
    <x v="2"/>
    <x v="4"/>
    <d v="2019-01-14T00:00:00"/>
    <n v="0"/>
    <x v="12"/>
    <n v="50"/>
    <x v="2"/>
  </r>
  <r>
    <x v="288"/>
    <n v="10205"/>
    <x v="285"/>
    <x v="11"/>
    <x v="26"/>
    <n v="85006"/>
    <d v="1991-05-23T00:00:00"/>
    <x v="1"/>
    <x v="1"/>
    <x v="0"/>
    <s v="No"/>
    <x v="2"/>
    <d v="2011-05-07T00:00:00"/>
    <d v="1990-01-01T00:00:00"/>
    <x v="0"/>
    <x v="0"/>
    <x v="4"/>
    <x v="14"/>
    <x v="1"/>
    <x v="1"/>
    <x v="111"/>
    <x v="1"/>
    <x v="0"/>
    <d v="2019-01-17T00:00:00"/>
    <n v="0"/>
    <x v="7"/>
    <n v="28"/>
    <x v="4"/>
  </r>
  <r>
    <x v="289"/>
    <n v="10014"/>
    <x v="286"/>
    <x v="0"/>
    <x v="0"/>
    <n v="2171"/>
    <d v="1987-01-31T00:00:00"/>
    <x v="0"/>
    <x v="2"/>
    <x v="0"/>
    <s v="No"/>
    <x v="0"/>
    <d v="2012-08-13T00:00:00"/>
    <d v="2016-05-02T00:00:00"/>
    <x v="15"/>
    <x v="1"/>
    <x v="0"/>
    <x v="2"/>
    <x v="0"/>
    <x v="0"/>
    <x v="10"/>
    <x v="0"/>
    <x v="0"/>
    <d v="2016-01-02T00:00:00"/>
    <n v="0"/>
    <x v="3"/>
    <n v="32"/>
    <x v="0"/>
  </r>
  <r>
    <x v="290"/>
    <n v="10144"/>
    <x v="287"/>
    <x v="9"/>
    <x v="0"/>
    <n v="2169"/>
    <d v="1968-10-10T00:00:00"/>
    <x v="0"/>
    <x v="2"/>
    <x v="0"/>
    <s v="No"/>
    <x v="0"/>
    <d v="2011-01-08T00:00:00"/>
    <d v="1990-01-01T00:00:00"/>
    <x v="0"/>
    <x v="0"/>
    <x v="0"/>
    <x v="13"/>
    <x v="3"/>
    <x v="1"/>
    <x v="82"/>
    <x v="1"/>
    <x v="0"/>
    <d v="2019-02-27T00:00:00"/>
    <n v="0"/>
    <x v="5"/>
    <n v="51"/>
    <x v="2"/>
  </r>
  <r>
    <x v="291"/>
    <n v="10253"/>
    <x v="288"/>
    <x v="11"/>
    <x v="27"/>
    <n v="4063"/>
    <d v="1989-11-07T00:00:00"/>
    <x v="0"/>
    <x v="0"/>
    <x v="0"/>
    <s v="No"/>
    <x v="3"/>
    <d v="2012-05-03T00:00:00"/>
    <d v="1990-01-01T00:00:00"/>
    <x v="0"/>
    <x v="0"/>
    <x v="4"/>
    <x v="14"/>
    <x v="7"/>
    <x v="1"/>
    <x v="10"/>
    <x v="2"/>
    <x v="0"/>
    <d v="2019-01-18T00:00:00"/>
    <n v="0"/>
    <x v="17"/>
    <n v="30"/>
    <x v="0"/>
  </r>
  <r>
    <x v="292"/>
    <n v="10118"/>
    <x v="289"/>
    <x v="6"/>
    <x v="0"/>
    <n v="1960"/>
    <d v="1986-07-08T00:00:00"/>
    <x v="0"/>
    <x v="1"/>
    <x v="0"/>
    <s v="No"/>
    <x v="1"/>
    <d v="2015-02-16T00:00:00"/>
    <d v="2017-02-22T00:00:00"/>
    <x v="13"/>
    <x v="2"/>
    <x v="1"/>
    <x v="1"/>
    <x v="3"/>
    <x v="1"/>
    <x v="112"/>
    <x v="1"/>
    <x v="4"/>
    <d v="2017-02-15T00:00:00"/>
    <n v="0"/>
    <x v="9"/>
    <n v="33"/>
    <x v="0"/>
  </r>
  <r>
    <x v="293"/>
    <n v="10022"/>
    <x v="290"/>
    <x v="0"/>
    <x v="0"/>
    <n v="2747"/>
    <d v="1986-03-06T00:00:00"/>
    <x v="1"/>
    <x v="1"/>
    <x v="0"/>
    <s v="No"/>
    <x v="0"/>
    <d v="2011-09-26T00:00:00"/>
    <d v="2016-08-02T00:00:00"/>
    <x v="17"/>
    <x v="2"/>
    <x v="0"/>
    <x v="11"/>
    <x v="2"/>
    <x v="0"/>
    <x v="25"/>
    <x v="0"/>
    <x v="0"/>
    <d v="2015-01-02T00:00:00"/>
    <n v="0"/>
    <x v="19"/>
    <n v="33"/>
    <x v="0"/>
  </r>
  <r>
    <x v="294"/>
    <n v="10183"/>
    <x v="291"/>
    <x v="0"/>
    <x v="0"/>
    <n v="2124"/>
    <d v="1985-06-04T00:00:00"/>
    <x v="1"/>
    <x v="0"/>
    <x v="0"/>
    <s v="No"/>
    <x v="0"/>
    <d v="2015-05-07T00:00:00"/>
    <d v="1990-01-01T00:00:00"/>
    <x v="0"/>
    <x v="0"/>
    <x v="0"/>
    <x v="0"/>
    <x v="0"/>
    <x v="1"/>
    <x v="113"/>
    <x v="1"/>
    <x v="0"/>
    <d v="2019-01-29T00:00:00"/>
    <n v="0"/>
    <x v="10"/>
    <n v="34"/>
    <x v="0"/>
  </r>
  <r>
    <x v="295"/>
    <n v="10190"/>
    <x v="292"/>
    <x v="2"/>
    <x v="0"/>
    <n v="2459"/>
    <d v="1976-10-02T00:00:00"/>
    <x v="0"/>
    <x v="0"/>
    <x v="0"/>
    <s v="No"/>
    <x v="1"/>
    <d v="2014-08-18T00:00:00"/>
    <d v="1990-01-01T00:00:00"/>
    <x v="0"/>
    <x v="0"/>
    <x v="0"/>
    <x v="7"/>
    <x v="3"/>
    <x v="1"/>
    <x v="114"/>
    <x v="0"/>
    <x v="0"/>
    <d v="2019-12-02T00:00:00"/>
    <n v="0"/>
    <x v="6"/>
    <n v="43"/>
    <x v="1"/>
  </r>
  <r>
    <x v="296"/>
    <n v="10274"/>
    <x v="293"/>
    <x v="9"/>
    <x v="0"/>
    <n v="2478"/>
    <d v="1955-11-14T00:00:00"/>
    <x v="1"/>
    <x v="1"/>
    <x v="0"/>
    <s v="No"/>
    <x v="1"/>
    <d v="2011-09-26T00:00:00"/>
    <d v="2012-02-01T00:00:00"/>
    <x v="4"/>
    <x v="1"/>
    <x v="0"/>
    <x v="13"/>
    <x v="4"/>
    <x v="1"/>
    <x v="10"/>
    <x v="1"/>
    <x v="0"/>
    <d v="2012-02-01T00:00:00"/>
    <n v="0"/>
    <x v="14"/>
    <n v="64"/>
    <x v="3"/>
  </r>
  <r>
    <x v="297"/>
    <n v="10293"/>
    <x v="294"/>
    <x v="0"/>
    <x v="0"/>
    <n v="1887"/>
    <d v="1980-02-08T00:00:00"/>
    <x v="1"/>
    <x v="0"/>
    <x v="0"/>
    <s v="No"/>
    <x v="0"/>
    <d v="2012-08-13T00:00:00"/>
    <d v="2015-01-09T00:00:00"/>
    <x v="1"/>
    <x v="1"/>
    <x v="0"/>
    <x v="3"/>
    <x v="6"/>
    <x v="2"/>
    <x v="115"/>
    <x v="1"/>
    <x v="0"/>
    <d v="2014-05-09T00:00:00"/>
    <n v="6"/>
    <x v="13"/>
    <n v="39"/>
    <x v="0"/>
  </r>
  <r>
    <x v="298"/>
    <n v="10172"/>
    <x v="295"/>
    <x v="24"/>
    <x v="0"/>
    <n v="1887"/>
    <d v="1981-08-07T00:00:00"/>
    <x v="0"/>
    <x v="0"/>
    <x v="0"/>
    <s v="No"/>
    <x v="3"/>
    <d v="2017-02-15T00:00:00"/>
    <d v="1990-01-01T00:00:00"/>
    <x v="0"/>
    <x v="0"/>
    <x v="1"/>
    <x v="19"/>
    <x v="1"/>
    <x v="1"/>
    <x v="116"/>
    <x v="2"/>
    <x v="4"/>
    <d v="2019-04-01T00:00:00"/>
    <n v="0"/>
    <x v="1"/>
    <n v="38"/>
    <x v="0"/>
  </r>
  <r>
    <x v="299"/>
    <n v="10127"/>
    <x v="296"/>
    <x v="15"/>
    <x v="0"/>
    <n v="2453"/>
    <d v="1978-02-05T00:00:00"/>
    <x v="1"/>
    <x v="3"/>
    <x v="0"/>
    <s v="No"/>
    <x v="3"/>
    <d v="2015-03-30T00:00:00"/>
    <d v="1990-01-01T00:00:00"/>
    <x v="0"/>
    <x v="0"/>
    <x v="1"/>
    <x v="9"/>
    <x v="3"/>
    <x v="1"/>
    <x v="7"/>
    <x v="2"/>
    <x v="6"/>
    <d v="2019-05-02T00:00:00"/>
    <n v="0"/>
    <x v="10"/>
    <n v="41"/>
    <x v="1"/>
  </r>
  <r>
    <x v="300"/>
    <n v="10072"/>
    <x v="297"/>
    <x v="0"/>
    <x v="0"/>
    <n v="2030"/>
    <d v="1987-05-24T00:00:00"/>
    <x v="0"/>
    <x v="0"/>
    <x v="0"/>
    <s v="Yes"/>
    <x v="0"/>
    <d v="2011-10-01T00:00:00"/>
    <d v="2014-05-15T00:00:00"/>
    <x v="2"/>
    <x v="1"/>
    <x v="0"/>
    <x v="4"/>
    <x v="0"/>
    <x v="1"/>
    <x v="4"/>
    <x v="0"/>
    <x v="0"/>
    <d v="2014-05-15T00:00:00"/>
    <n v="0"/>
    <x v="17"/>
    <n v="32"/>
    <x v="0"/>
  </r>
  <r>
    <x v="301"/>
    <n v="10048"/>
    <x v="298"/>
    <x v="0"/>
    <x v="0"/>
    <n v="2324"/>
    <d v="1965-09-09T00:00:00"/>
    <x v="0"/>
    <x v="1"/>
    <x v="1"/>
    <s v="No"/>
    <x v="0"/>
    <d v="2011-05-16T00:00:00"/>
    <d v="2015-07-09T00:00:00"/>
    <x v="5"/>
    <x v="1"/>
    <x v="0"/>
    <x v="5"/>
    <x v="7"/>
    <x v="1"/>
    <x v="4"/>
    <x v="1"/>
    <x v="0"/>
    <d v="2015-02-15T00:00:00"/>
    <n v="0"/>
    <x v="10"/>
    <n v="54"/>
    <x v="2"/>
  </r>
  <r>
    <x v="302"/>
    <n v="10204"/>
    <x v="299"/>
    <x v="0"/>
    <x v="0"/>
    <n v="1876"/>
    <d v="1983-07-30T00:00:00"/>
    <x v="1"/>
    <x v="2"/>
    <x v="0"/>
    <s v="No"/>
    <x v="0"/>
    <d v="2011-10-01T00:00:00"/>
    <d v="2012-05-14T00:00:00"/>
    <x v="4"/>
    <x v="1"/>
    <x v="0"/>
    <x v="7"/>
    <x v="2"/>
    <x v="1"/>
    <x v="62"/>
    <x v="0"/>
    <x v="0"/>
    <d v="2011-06-02T00:00:00"/>
    <n v="0"/>
    <x v="9"/>
    <n v="36"/>
    <x v="0"/>
  </r>
  <r>
    <x v="303"/>
    <n v="10264"/>
    <x v="300"/>
    <x v="0"/>
    <x v="0"/>
    <n v="2109"/>
    <d v="1969-02-10T00:00:00"/>
    <x v="1"/>
    <x v="0"/>
    <x v="0"/>
    <s v="Yes"/>
    <x v="1"/>
    <d v="2012-09-01T00:00:00"/>
    <d v="2015-06-27T00:00:00"/>
    <x v="10"/>
    <x v="1"/>
    <x v="0"/>
    <x v="7"/>
    <x v="4"/>
    <x v="1"/>
    <x v="25"/>
    <x v="2"/>
    <x v="0"/>
    <d v="2014-02-06T00:00:00"/>
    <n v="0"/>
    <x v="7"/>
    <n v="50"/>
    <x v="2"/>
  </r>
  <r>
    <x v="304"/>
    <n v="10033"/>
    <x v="301"/>
    <x v="2"/>
    <x v="0"/>
    <n v="2045"/>
    <d v="1958-07-11T00:00:00"/>
    <x v="0"/>
    <x v="0"/>
    <x v="0"/>
    <s v="No"/>
    <x v="0"/>
    <d v="2013-07-01T00:00:00"/>
    <d v="2016-02-21T00:00:00"/>
    <x v="9"/>
    <x v="1"/>
    <x v="0"/>
    <x v="8"/>
    <x v="0"/>
    <x v="0"/>
    <x v="4"/>
    <x v="1"/>
    <x v="0"/>
    <d v="2016-01-19T00:00:00"/>
    <n v="0"/>
    <x v="10"/>
    <n v="61"/>
    <x v="3"/>
  </r>
  <r>
    <x v="305"/>
    <n v="10174"/>
    <x v="302"/>
    <x v="2"/>
    <x v="0"/>
    <n v="2302"/>
    <d v="1985-04-20T00:00:00"/>
    <x v="1"/>
    <x v="0"/>
    <x v="0"/>
    <s v="No"/>
    <x v="0"/>
    <d v="2014-09-29T00:00:00"/>
    <d v="1990-01-01T00:00:00"/>
    <x v="0"/>
    <x v="0"/>
    <x v="0"/>
    <x v="10"/>
    <x v="0"/>
    <x v="1"/>
    <x v="42"/>
    <x v="2"/>
    <x v="0"/>
    <d v="2019-02-21T00:00:00"/>
    <n v="0"/>
    <x v="15"/>
    <n v="34"/>
    <x v="0"/>
  </r>
  <r>
    <x v="306"/>
    <n v="10135"/>
    <x v="303"/>
    <x v="2"/>
    <x v="0"/>
    <n v="1810"/>
    <d v="1985-11-05T00:00:00"/>
    <x v="0"/>
    <x v="0"/>
    <x v="0"/>
    <s v="No"/>
    <x v="0"/>
    <d v="2014-07-07T00:00:00"/>
    <d v="1990-01-01T00:00:00"/>
    <x v="0"/>
    <x v="0"/>
    <x v="0"/>
    <x v="2"/>
    <x v="0"/>
    <x v="1"/>
    <x v="117"/>
    <x v="2"/>
    <x v="0"/>
    <d v="2019-02-28T00:00:00"/>
    <n v="0"/>
    <x v="13"/>
    <n v="34"/>
    <x v="0"/>
  </r>
  <r>
    <x v="307"/>
    <n v="10301"/>
    <x v="304"/>
    <x v="0"/>
    <x v="0"/>
    <n v="2458"/>
    <d v="1982-04-05T00:00:00"/>
    <x v="1"/>
    <x v="0"/>
    <x v="0"/>
    <s v="No"/>
    <x v="3"/>
    <d v="2008-02-09T00:00:00"/>
    <d v="2015-09-29T00:00:00"/>
    <x v="4"/>
    <x v="1"/>
    <x v="0"/>
    <x v="8"/>
    <x v="2"/>
    <x v="3"/>
    <x v="118"/>
    <x v="3"/>
    <x v="0"/>
    <d v="2015-02-09T00:00:00"/>
    <n v="5"/>
    <x v="6"/>
    <n v="37"/>
    <x v="0"/>
  </r>
  <r>
    <x v="308"/>
    <n v="10010"/>
    <x v="305"/>
    <x v="31"/>
    <x v="0"/>
    <n v="2067"/>
    <d v="1979-08-30T00:00:00"/>
    <x v="1"/>
    <x v="0"/>
    <x v="0"/>
    <s v="No"/>
    <x v="0"/>
    <d v="2010-10-04T00:00:00"/>
    <d v="1990-01-01T00:00:00"/>
    <x v="0"/>
    <x v="0"/>
    <x v="1"/>
    <x v="13"/>
    <x v="3"/>
    <x v="0"/>
    <x v="0"/>
    <x v="0"/>
    <x v="1"/>
    <d v="2019-02-21T00:00:00"/>
    <n v="0"/>
    <x v="7"/>
    <n v="40"/>
    <x v="1"/>
  </r>
  <r>
    <x v="309"/>
    <n v="10043"/>
    <x v="306"/>
    <x v="5"/>
    <x v="0"/>
    <n v="2148"/>
    <d v="1979-02-24T00:00:00"/>
    <x v="1"/>
    <x v="0"/>
    <x v="0"/>
    <s v="No"/>
    <x v="0"/>
    <d v="2015-03-30T00:00:00"/>
    <d v="1990-01-01T00:00:00"/>
    <x v="0"/>
    <x v="0"/>
    <x v="1"/>
    <x v="1"/>
    <x v="3"/>
    <x v="1"/>
    <x v="4"/>
    <x v="1"/>
    <x v="3"/>
    <d v="2019-01-02T00:00:00"/>
    <n v="0"/>
    <x v="17"/>
    <n v="40"/>
    <x v="1"/>
  </r>
  <r>
    <x v="310"/>
    <n v="10271"/>
    <x v="307"/>
    <x v="0"/>
    <x v="0"/>
    <n v="1730"/>
    <d v="1978-08-17T00:00:00"/>
    <x v="1"/>
    <x v="3"/>
    <x v="0"/>
    <s v="No"/>
    <x v="3"/>
    <d v="2014-09-29T00:00:00"/>
    <d v="1990-01-01T00:00:00"/>
    <x v="0"/>
    <x v="0"/>
    <x v="0"/>
    <x v="10"/>
    <x v="0"/>
    <x v="1"/>
    <x v="10"/>
    <x v="0"/>
    <x v="0"/>
    <d v="2019-01-30T00:00:00"/>
    <n v="0"/>
    <x v="4"/>
    <n v="4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C17F06-41A2-4F0B-B820-5145B2E28C3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3:B39" firstHeaderRow="1" firstDataRow="1" firstDataCol="1"/>
  <pivotFields count="31">
    <pivotField dataField="1" showAll="0"/>
    <pivotField showAll="0"/>
    <pivotField showAll="0"/>
    <pivotField showAll="0">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numFmtId="164" showAll="0"/>
    <pivotField showAll="0"/>
    <pivotField showAll="0"/>
    <pivotField showAll="0"/>
    <pivotField showAll="0"/>
    <pivotField showAll="0"/>
    <pivotField numFmtId="164" showAll="0"/>
    <pivotField numFmtId="164" showAll="0"/>
    <pivotField showAll="0"/>
    <pivotField showAll="0"/>
    <pivotField showAll="0"/>
    <pivotField showAll="0">
      <items count="22">
        <item x="6"/>
        <item x="5"/>
        <item x="20"/>
        <item x="12"/>
        <item x="8"/>
        <item x="19"/>
        <item x="10"/>
        <item x="18"/>
        <item x="3"/>
        <item x="17"/>
        <item x="13"/>
        <item x="15"/>
        <item x="14"/>
        <item x="11"/>
        <item x="7"/>
        <item x="2"/>
        <item x="16"/>
        <item x="0"/>
        <item x="9"/>
        <item x="1"/>
        <item x="4"/>
        <item t="default"/>
      </items>
    </pivotField>
    <pivotField showAll="0"/>
    <pivotField showAll="0"/>
    <pivotField showAll="0"/>
    <pivotField showAll="0"/>
    <pivotField showAll="0"/>
    <pivotField numFmtId="164" showAll="0"/>
    <pivotField showAll="0"/>
    <pivotField showAll="0"/>
    <pivotField showAll="0"/>
    <pivotField axis="axisRow" showAll="0">
      <items count="6">
        <item x="4"/>
        <item x="0"/>
        <item x="1"/>
        <item x="2"/>
        <item x="3"/>
        <item t="default"/>
      </items>
    </pivotField>
    <pivotField showAll="0">
      <items count="3">
        <item x="1"/>
        <item x="0"/>
        <item t="default"/>
      </items>
    </pivotField>
    <pivotField showAll="0">
      <items count="3">
        <item x="1"/>
        <item x="0"/>
        <item t="default"/>
      </items>
    </pivotField>
    <pivotField showAll="0">
      <items count="3">
        <item x="0"/>
        <item x="1"/>
        <item t="default"/>
      </items>
    </pivotField>
  </pivotFields>
  <rowFields count="1">
    <field x="27"/>
  </rowFields>
  <rowItems count="6">
    <i>
      <x/>
    </i>
    <i>
      <x v="1"/>
    </i>
    <i>
      <x v="2"/>
    </i>
    <i>
      <x v="3"/>
    </i>
    <i>
      <x v="4"/>
    </i>
    <i t="grand">
      <x/>
    </i>
  </rowItems>
  <colItems count="1">
    <i/>
  </colItems>
  <dataFields count="1">
    <dataField name="Count of Employee_Name" fld="0" subtotal="count"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4792EA-78BC-4250-86B1-15DE723FE64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F14:G20" firstHeaderRow="1" firstDataRow="1" firstDataCol="1"/>
  <pivotFields count="31">
    <pivotField dataField="1" showAll="0"/>
    <pivotField showAll="0"/>
    <pivotField showAll="0"/>
    <pivotField showAll="0">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numFmtId="164" showAll="0"/>
    <pivotField showAll="0"/>
    <pivotField axis="axisRow" showAll="0">
      <items count="6">
        <item x="2"/>
        <item x="1"/>
        <item x="4"/>
        <item x="0"/>
        <item x="3"/>
        <item t="default"/>
      </items>
    </pivotField>
    <pivotField showAll="0"/>
    <pivotField showAll="0"/>
    <pivotField showAll="0"/>
    <pivotField numFmtId="164" showAll="0"/>
    <pivotField numFmtId="164" showAll="0"/>
    <pivotField showAll="0"/>
    <pivotField showAll="0"/>
    <pivotField showAll="0"/>
    <pivotField showAll="0">
      <items count="22">
        <item x="6"/>
        <item x="5"/>
        <item x="20"/>
        <item x="12"/>
        <item x="8"/>
        <item x="19"/>
        <item x="10"/>
        <item x="18"/>
        <item x="3"/>
        <item x="17"/>
        <item x="13"/>
        <item x="15"/>
        <item x="14"/>
        <item x="11"/>
        <item x="7"/>
        <item x="2"/>
        <item x="16"/>
        <item x="0"/>
        <item x="9"/>
        <item x="1"/>
        <item x="4"/>
        <item t="default"/>
      </items>
    </pivotField>
    <pivotField showAll="0"/>
    <pivotField showAll="0"/>
    <pivotField showAll="0"/>
    <pivotField showAll="0"/>
    <pivotField showAll="0"/>
    <pivotField numFmtId="164" showAll="0"/>
    <pivotField showAll="0"/>
    <pivotField showAll="0"/>
    <pivotField showAll="0"/>
    <pivotField showAll="0"/>
    <pivotField showAll="0">
      <items count="3">
        <item x="1"/>
        <item x="0"/>
        <item t="default"/>
      </items>
    </pivotField>
    <pivotField showAll="0">
      <items count="3">
        <item x="1"/>
        <item x="0"/>
        <item t="default"/>
      </items>
    </pivotField>
    <pivotField showAll="0">
      <items count="3">
        <item x="0"/>
        <item x="1"/>
        <item t="default"/>
      </items>
    </pivotField>
  </pivotFields>
  <rowFields count="1">
    <field x="8"/>
  </rowFields>
  <rowItems count="6">
    <i>
      <x/>
    </i>
    <i>
      <x v="1"/>
    </i>
    <i>
      <x v="2"/>
    </i>
    <i>
      <x v="3"/>
    </i>
    <i>
      <x v="4"/>
    </i>
    <i t="grand">
      <x/>
    </i>
  </rowItems>
  <colItems count="1">
    <i/>
  </colItems>
  <dataFields count="1">
    <dataField name="Count of Employee_Name"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8" count="1" selected="0">
            <x v="0"/>
          </reference>
        </references>
      </pivotArea>
    </chartFormat>
    <chartFormat chart="9" format="14">
      <pivotArea type="data" outline="0" fieldPosition="0">
        <references count="2">
          <reference field="4294967294" count="1" selected="0">
            <x v="0"/>
          </reference>
          <reference field="8" count="1" selected="0">
            <x v="1"/>
          </reference>
        </references>
      </pivotArea>
    </chartFormat>
    <chartFormat chart="9" format="15">
      <pivotArea type="data" outline="0" fieldPosition="0">
        <references count="2">
          <reference field="4294967294" count="1" selected="0">
            <x v="0"/>
          </reference>
          <reference field="8" count="1" selected="0">
            <x v="2"/>
          </reference>
        </references>
      </pivotArea>
    </chartFormat>
    <chartFormat chart="9" format="16">
      <pivotArea type="data" outline="0" fieldPosition="0">
        <references count="2">
          <reference field="4294967294" count="1" selected="0">
            <x v="0"/>
          </reference>
          <reference field="8" count="1" selected="0">
            <x v="3"/>
          </reference>
        </references>
      </pivotArea>
    </chartFormat>
    <chartFormat chart="9" format="17">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DC88AE-55BF-4355-8CC4-6403E0A8275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81:B83" firstHeaderRow="1" firstDataRow="1" firstDataCol="1"/>
  <pivotFields count="31">
    <pivotField dataField="1" showAll="0">
      <items count="3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182"/>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14"/>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t="default"/>
      </items>
    </pivotField>
    <pivotField showAll="0"/>
    <pivotField showAll="0"/>
    <pivotField showAll="0">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numFmtId="164" showAll="0"/>
    <pivotField showAll="0"/>
    <pivotField showAll="0">
      <items count="6">
        <item x="2"/>
        <item x="1"/>
        <item x="4"/>
        <item x="0"/>
        <item x="3"/>
        <item t="default"/>
      </items>
    </pivotField>
    <pivotField showAll="0"/>
    <pivotField showAll="0"/>
    <pivotField showAll="0"/>
    <pivotField numFmtId="164" showAll="0"/>
    <pivotField numFmtId="164" showAll="0"/>
    <pivotField showAll="0">
      <items count="19">
        <item x="4"/>
        <item x="6"/>
        <item x="1"/>
        <item x="14"/>
        <item x="17"/>
        <item x="2"/>
        <item x="8"/>
        <item x="15"/>
        <item x="16"/>
        <item x="12"/>
        <item x="11"/>
        <item x="0"/>
        <item x="13"/>
        <item x="7"/>
        <item x="10"/>
        <item x="9"/>
        <item x="3"/>
        <item x="5"/>
        <item t="default"/>
      </items>
    </pivotField>
    <pivotField axis="axisRow" showAll="0">
      <items count="4">
        <item h="1" x="0"/>
        <item h="1" x="2"/>
        <item x="1"/>
        <item t="default"/>
      </items>
    </pivotField>
    <pivotField showAll="0"/>
    <pivotField showAll="0">
      <items count="22">
        <item x="6"/>
        <item x="5"/>
        <item x="20"/>
        <item x="12"/>
        <item x="8"/>
        <item x="19"/>
        <item x="10"/>
        <item x="18"/>
        <item x="3"/>
        <item x="17"/>
        <item x="13"/>
        <item x="15"/>
        <item x="14"/>
        <item x="11"/>
        <item x="7"/>
        <item x="2"/>
        <item x="16"/>
        <item x="0"/>
        <item x="9"/>
        <item x="1"/>
        <item x="4"/>
        <item t="default"/>
      </items>
    </pivotField>
    <pivotField showAll="0"/>
    <pivotField showAll="0"/>
    <pivotField showAll="0">
      <items count="120">
        <item x="38"/>
        <item x="51"/>
        <item x="50"/>
        <item x="108"/>
        <item x="37"/>
        <item x="11"/>
        <item x="47"/>
        <item x="40"/>
        <item x="88"/>
        <item x="67"/>
        <item x="85"/>
        <item x="92"/>
        <item x="110"/>
        <item x="115"/>
        <item x="101"/>
        <item x="111"/>
        <item x="46"/>
        <item x="24"/>
        <item x="39"/>
        <item x="2"/>
        <item x="63"/>
        <item x="5"/>
        <item x="70"/>
        <item x="81"/>
        <item x="34"/>
        <item x="114"/>
        <item x="49"/>
        <item x="17"/>
        <item x="95"/>
        <item x="79"/>
        <item x="16"/>
        <item x="118"/>
        <item x="113"/>
        <item x="65"/>
        <item x="19"/>
        <item x="107"/>
        <item x="22"/>
        <item x="103"/>
        <item x="105"/>
        <item x="15"/>
        <item x="73"/>
        <item x="14"/>
        <item x="42"/>
        <item x="116"/>
        <item x="93"/>
        <item x="72"/>
        <item x="13"/>
        <item x="102"/>
        <item x="91"/>
        <item x="26"/>
        <item x="62"/>
        <item x="74"/>
        <item x="53"/>
        <item x="99"/>
        <item x="30"/>
        <item x="66"/>
        <item x="54"/>
        <item x="69"/>
        <item x="36"/>
        <item x="23"/>
        <item x="86"/>
        <item x="20"/>
        <item x="41"/>
        <item x="90"/>
        <item x="57"/>
        <item x="82"/>
        <item x="35"/>
        <item x="56"/>
        <item x="97"/>
        <item x="68"/>
        <item x="48"/>
        <item x="117"/>
        <item x="28"/>
        <item x="43"/>
        <item x="32"/>
        <item x="29"/>
        <item x="96"/>
        <item x="94"/>
        <item x="61"/>
        <item x="83"/>
        <item x="7"/>
        <item x="109"/>
        <item x="55"/>
        <item x="89"/>
        <item x="8"/>
        <item x="87"/>
        <item x="25"/>
        <item x="112"/>
        <item x="98"/>
        <item x="84"/>
        <item x="9"/>
        <item x="21"/>
        <item x="6"/>
        <item x="64"/>
        <item x="10"/>
        <item x="18"/>
        <item x="45"/>
        <item x="78"/>
        <item x="0"/>
        <item x="58"/>
        <item x="33"/>
        <item x="59"/>
        <item x="60"/>
        <item x="80"/>
        <item x="106"/>
        <item x="27"/>
        <item x="31"/>
        <item x="52"/>
        <item x="44"/>
        <item x="75"/>
        <item x="12"/>
        <item x="104"/>
        <item x="71"/>
        <item x="3"/>
        <item x="77"/>
        <item x="76"/>
        <item x="100"/>
        <item x="1"/>
        <item x="4"/>
        <item t="default"/>
      </items>
    </pivotField>
    <pivotField showAll="0"/>
    <pivotField showAll="0"/>
    <pivotField numFmtId="164" showAll="0"/>
    <pivotField showAll="0"/>
    <pivotField showAll="0"/>
    <pivotField showAll="0"/>
    <pivotField showAll="0"/>
    <pivotField showAll="0" defaultSubtotal="0">
      <items count="2">
        <item x="0"/>
        <item x="1"/>
      </items>
    </pivotField>
    <pivotField showAll="0" defaultSubtotal="0">
      <items count="2">
        <item x="0"/>
        <item x="1"/>
      </items>
    </pivotField>
    <pivotField showAll="0" defaultSubtotal="0">
      <items count="2">
        <item x="0"/>
        <item x="1"/>
      </items>
    </pivotField>
  </pivotFields>
  <rowFields count="1">
    <field x="15"/>
  </rowFields>
  <rowItems count="2">
    <i>
      <x v="2"/>
    </i>
    <i t="grand">
      <x/>
    </i>
  </rowItems>
  <colItems count="1">
    <i/>
  </colItems>
  <dataFields count="1">
    <dataField name="Count of Employee_Name"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2"/>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5" count="1" selected="0">
            <x v="0"/>
          </reference>
        </references>
      </pivotArea>
    </chartFormat>
    <chartFormat chart="6" format="9">
      <pivotArea type="data" outline="0" fieldPosition="0">
        <references count="2">
          <reference field="4294967294" count="1" selected="0">
            <x v="0"/>
          </reference>
          <reference field="15" count="1" selected="0">
            <x v="1"/>
          </reference>
        </references>
      </pivotArea>
    </chartFormat>
    <chartFormat chart="6" format="10">
      <pivotArea type="data" outline="0" fieldPosition="0">
        <references count="2">
          <reference field="4294967294" count="1" selected="0">
            <x v="0"/>
          </reference>
          <reference field="15" count="1" selected="0">
            <x v="2"/>
          </reference>
        </references>
      </pivotArea>
    </chartFormat>
    <chartFormat chart="0" format="3">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BBE40E-F3EB-4277-80A2-4EE02760C19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55:F59" firstHeaderRow="1" firstDataRow="1" firstDataCol="1"/>
  <pivotFields count="31">
    <pivotField dataField="1" showAll="0"/>
    <pivotField showAll="0"/>
    <pivotField showAll="0"/>
    <pivotField showAll="0">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numFmtId="164" showAll="0"/>
    <pivotField showAll="0"/>
    <pivotField showAll="0"/>
    <pivotField axis="axisRow" showAll="0">
      <items count="4">
        <item x="1"/>
        <item x="2"/>
        <item x="0"/>
        <item t="default"/>
      </items>
    </pivotField>
    <pivotField showAll="0"/>
    <pivotField showAll="0"/>
    <pivotField numFmtId="164" showAll="0"/>
    <pivotField numFmtId="164" showAll="0"/>
    <pivotField showAll="0"/>
    <pivotField showAll="0"/>
    <pivotField showAll="0"/>
    <pivotField showAll="0">
      <items count="22">
        <item x="6"/>
        <item x="5"/>
        <item x="20"/>
        <item x="12"/>
        <item x="8"/>
        <item x="19"/>
        <item x="10"/>
        <item x="18"/>
        <item x="3"/>
        <item x="17"/>
        <item x="13"/>
        <item x="15"/>
        <item x="14"/>
        <item x="11"/>
        <item x="7"/>
        <item x="2"/>
        <item x="16"/>
        <item x="0"/>
        <item x="9"/>
        <item x="1"/>
        <item x="4"/>
        <item t="default"/>
      </items>
    </pivotField>
    <pivotField showAll="0"/>
    <pivotField showAll="0"/>
    <pivotField showAll="0"/>
    <pivotField showAll="0"/>
    <pivotField showAll="0"/>
    <pivotField numFmtId="164" showAll="0"/>
    <pivotField showAll="0"/>
    <pivotField showAll="0"/>
    <pivotField showAll="0"/>
    <pivotField showAll="0"/>
    <pivotField showAll="0" defaultSubtotal="0">
      <items count="2">
        <item x="0"/>
        <item x="1"/>
      </items>
    </pivotField>
    <pivotField showAll="0">
      <items count="3">
        <item x="1"/>
        <item x="0"/>
        <item t="default"/>
      </items>
    </pivotField>
    <pivotField showAll="0">
      <items count="3">
        <item x="0"/>
        <item x="1"/>
        <item t="default"/>
      </items>
    </pivotField>
  </pivotFields>
  <rowFields count="1">
    <field x="9"/>
  </rowFields>
  <rowItems count="4">
    <i>
      <x/>
    </i>
    <i>
      <x v="1"/>
    </i>
    <i>
      <x v="2"/>
    </i>
    <i t="grand">
      <x/>
    </i>
  </rowItems>
  <colItems count="1">
    <i/>
  </colItems>
  <dataFields count="1">
    <dataField name="Count of Employee_Name"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14E65A-FC3C-44FC-859F-B10161BEEE92}" name="PivotTable1"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1">
  <location ref="A15:B18" firstHeaderRow="1" firstDataRow="1" firstDataCol="1"/>
  <pivotFields count="31">
    <pivotField dataField="1" showAll="0"/>
    <pivotField showAll="0"/>
    <pivotField showAll="0"/>
    <pivotField showAll="0">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numFmtId="164" showAll="0"/>
    <pivotField axis="axisRow" showAll="0">
      <items count="3">
        <item x="1"/>
        <item x="0"/>
        <item t="default"/>
      </items>
    </pivotField>
    <pivotField showAll="0"/>
    <pivotField showAll="0"/>
    <pivotField showAll="0"/>
    <pivotField showAll="0"/>
    <pivotField numFmtId="164" showAll="0"/>
    <pivotField numFmtId="164" showAll="0"/>
    <pivotField showAll="0"/>
    <pivotField showAll="0"/>
    <pivotField showAll="0"/>
    <pivotField showAll="0">
      <items count="22">
        <item x="6"/>
        <item x="5"/>
        <item x="20"/>
        <item x="12"/>
        <item x="8"/>
        <item x="19"/>
        <item x="10"/>
        <item x="18"/>
        <item x="3"/>
        <item x="17"/>
        <item x="13"/>
        <item x="15"/>
        <item x="14"/>
        <item x="11"/>
        <item x="7"/>
        <item x="2"/>
        <item x="16"/>
        <item x="0"/>
        <item x="9"/>
        <item x="1"/>
        <item x="4"/>
        <item t="default"/>
      </items>
    </pivotField>
    <pivotField showAll="0"/>
    <pivotField showAll="0"/>
    <pivotField showAll="0"/>
    <pivotField showAll="0"/>
    <pivotField showAll="0"/>
    <pivotField numFmtId="164" showAll="0"/>
    <pivotField showAll="0"/>
    <pivotField showAll="0"/>
    <pivotField showAll="0"/>
    <pivotField showAll="0"/>
    <pivotField showAll="0">
      <items count="3">
        <item x="1"/>
        <item x="0"/>
        <item t="default"/>
      </items>
    </pivotField>
    <pivotField showAll="0">
      <items count="3">
        <item x="1"/>
        <item x="0"/>
        <item t="default"/>
      </items>
    </pivotField>
    <pivotField showAll="0">
      <items count="3">
        <item x="0"/>
        <item x="1"/>
        <item t="default"/>
      </items>
    </pivotField>
  </pivotFields>
  <rowFields count="1">
    <field x="7"/>
  </rowFields>
  <rowItems count="3">
    <i>
      <x/>
    </i>
    <i>
      <x v="1"/>
    </i>
    <i t="grand">
      <x/>
    </i>
  </rowItems>
  <colItems count="1">
    <i/>
  </colItems>
  <dataFields count="1">
    <dataField name="Count of Employee_Name" fld="0" subtotal="count" baseField="0" baseItem="0"/>
  </dataFields>
  <chartFormats count="2">
    <chartFormat chart="6"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BD4961-0486-43D6-85A9-A21B576C0F4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4:B61" firstHeaderRow="1" firstDataRow="1" firstDataCol="1"/>
  <pivotFields count="31">
    <pivotField dataField="1" showAll="0"/>
    <pivotField showAll="0"/>
    <pivotField showAll="0"/>
    <pivotField showAll="0">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numFmtId="164" showAll="0"/>
    <pivotField showAll="0"/>
    <pivotField showAll="0"/>
    <pivotField showAll="0"/>
    <pivotField showAll="0"/>
    <pivotField axis="axisRow" showAll="0">
      <items count="7">
        <item x="4"/>
        <item x="3"/>
        <item x="1"/>
        <item x="5"/>
        <item x="2"/>
        <item x="0"/>
        <item t="default"/>
      </items>
    </pivotField>
    <pivotField numFmtId="164" showAll="0"/>
    <pivotField numFmtId="164" showAll="0"/>
    <pivotField showAll="0"/>
    <pivotField showAll="0"/>
    <pivotField showAll="0"/>
    <pivotField showAll="0">
      <items count="22">
        <item x="6"/>
        <item x="5"/>
        <item x="20"/>
        <item x="12"/>
        <item x="8"/>
        <item x="19"/>
        <item x="10"/>
        <item x="18"/>
        <item x="3"/>
        <item x="17"/>
        <item x="13"/>
        <item x="15"/>
        <item x="14"/>
        <item x="11"/>
        <item x="7"/>
        <item x="2"/>
        <item x="16"/>
        <item x="0"/>
        <item x="9"/>
        <item x="1"/>
        <item x="4"/>
        <item t="default"/>
      </items>
    </pivotField>
    <pivotField showAll="0"/>
    <pivotField showAll="0"/>
    <pivotField showAll="0"/>
    <pivotField showAll="0"/>
    <pivotField showAll="0"/>
    <pivotField numFmtId="164" showAll="0"/>
    <pivotField showAll="0"/>
    <pivotField showAll="0"/>
    <pivotField showAll="0"/>
    <pivotField showAll="0"/>
    <pivotField showAll="0">
      <items count="3">
        <item x="1"/>
        <item x="0"/>
        <item t="default"/>
      </items>
    </pivotField>
    <pivotField showAll="0">
      <items count="3">
        <item x="1"/>
        <item x="0"/>
        <item t="default"/>
      </items>
    </pivotField>
    <pivotField showAll="0">
      <items count="3">
        <item x="0"/>
        <item x="1"/>
        <item t="default"/>
      </items>
    </pivotField>
  </pivotFields>
  <rowFields count="1">
    <field x="11"/>
  </rowFields>
  <rowItems count="7">
    <i>
      <x/>
    </i>
    <i>
      <x v="1"/>
    </i>
    <i>
      <x v="2"/>
    </i>
    <i>
      <x v="3"/>
    </i>
    <i>
      <x v="4"/>
    </i>
    <i>
      <x v="5"/>
    </i>
    <i t="grand">
      <x/>
    </i>
  </rowItems>
  <colItems count="1">
    <i/>
  </colItems>
  <dataFields count="1">
    <dataField name="Count of Employee_Name" fld="0" subtotal="count"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FD67F3-13D7-4631-9C1E-726669C96B7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E82:F86" firstHeaderRow="1" firstDataRow="1" firstDataCol="1"/>
  <pivotFields count="31">
    <pivotField dataField="1" showAll="0">
      <items count="3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182"/>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14"/>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t="default"/>
      </items>
    </pivotField>
    <pivotField showAll="0"/>
    <pivotField showAll="0"/>
    <pivotField showAll="0">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numFmtId="164" showAll="0"/>
    <pivotField showAll="0"/>
    <pivotField showAll="0"/>
    <pivotField showAll="0"/>
    <pivotField showAll="0"/>
    <pivotField showAll="0"/>
    <pivotField numFmtId="164" showAll="0"/>
    <pivotField numFmtId="164" showAll="0"/>
    <pivotField showAll="0"/>
    <pivotField axis="axisRow" showAll="0">
      <items count="4">
        <item x="0"/>
        <item x="2"/>
        <item x="1"/>
        <item t="default"/>
      </items>
    </pivotField>
    <pivotField showAll="0"/>
    <pivotField showAll="0">
      <items count="22">
        <item x="6"/>
        <item x="5"/>
        <item x="20"/>
        <item x="12"/>
        <item x="8"/>
        <item x="19"/>
        <item x="10"/>
        <item x="18"/>
        <item x="3"/>
        <item x="17"/>
        <item x="13"/>
        <item x="15"/>
        <item x="14"/>
        <item x="11"/>
        <item x="7"/>
        <item x="2"/>
        <item x="16"/>
        <item x="0"/>
        <item x="9"/>
        <item x="1"/>
        <item x="4"/>
        <item t="default"/>
      </items>
    </pivotField>
    <pivotField showAll="0"/>
    <pivotField showAll="0"/>
    <pivotField showAll="0"/>
    <pivotField showAll="0"/>
    <pivotField showAll="0"/>
    <pivotField numFmtId="164" showAll="0"/>
    <pivotField showAll="0"/>
    <pivotField showAll="0"/>
    <pivotField showAll="0"/>
    <pivotField showAll="0">
      <items count="6">
        <item x="4"/>
        <item x="0"/>
        <item x="1"/>
        <item x="2"/>
        <item x="3"/>
        <item t="default"/>
      </items>
    </pivotField>
    <pivotField showAll="0" defaultSubtotal="0">
      <items count="2">
        <item x="0"/>
        <item x="1"/>
      </items>
    </pivotField>
    <pivotField showAll="0" defaultSubtotal="0">
      <items count="2">
        <item x="0"/>
        <item x="1"/>
      </items>
    </pivotField>
    <pivotField showAll="0" defaultSubtotal="0">
      <items count="2">
        <item x="0"/>
        <item x="1"/>
      </items>
    </pivotField>
  </pivotFields>
  <rowFields count="1">
    <field x="15"/>
  </rowFields>
  <rowItems count="4">
    <i>
      <x/>
    </i>
    <i>
      <x v="1"/>
    </i>
    <i>
      <x v="2"/>
    </i>
    <i t="grand">
      <x/>
    </i>
  </rowItems>
  <colItems count="1">
    <i/>
  </colItems>
  <dataFields count="1">
    <dataField name="Count of Employee_Name"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44716E-ED82-40E8-BD9F-2152512928A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33:E36" firstHeaderRow="1" firstDataRow="1" firstDataCol="1"/>
  <pivotFields count="31">
    <pivotField dataField="1" showAll="0"/>
    <pivotField showAll="0"/>
    <pivotField showAll="0"/>
    <pivotField showAll="0">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pivotField>
    <pivotField axis="axisRow"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numFmtId="164" showAll="0"/>
    <pivotField showAll="0"/>
    <pivotField showAll="0"/>
    <pivotField showAll="0"/>
    <pivotField showAll="0"/>
    <pivotField showAll="0"/>
    <pivotField numFmtId="164" showAll="0"/>
    <pivotField numFmtId="164" showAll="0"/>
    <pivotField showAll="0"/>
    <pivotField showAll="0"/>
    <pivotField showAll="0"/>
    <pivotField showAll="0">
      <items count="22">
        <item x="6"/>
        <item x="5"/>
        <item x="20"/>
        <item x="12"/>
        <item x="8"/>
        <item x="19"/>
        <item x="10"/>
        <item x="18"/>
        <item x="3"/>
        <item x="17"/>
        <item x="13"/>
        <item x="15"/>
        <item x="14"/>
        <item x="11"/>
        <item x="7"/>
        <item x="2"/>
        <item x="16"/>
        <item x="0"/>
        <item x="9"/>
        <item x="1"/>
        <item x="4"/>
        <item t="default"/>
      </items>
    </pivotField>
    <pivotField showAll="0"/>
    <pivotField showAll="0"/>
    <pivotField showAll="0"/>
    <pivotField showAll="0"/>
    <pivotField showAll="0"/>
    <pivotField numFmtId="164" showAll="0"/>
    <pivotField showAll="0"/>
    <pivotField showAll="0"/>
    <pivotField showAll="0"/>
    <pivotField showAll="0"/>
    <pivotField axis="axisRow" showAll="0">
      <items count="3">
        <item n="other" sd="0" x="1"/>
        <item sd="0" x="0"/>
        <item t="default"/>
      </items>
    </pivotField>
    <pivotField showAll="0">
      <items count="3">
        <item x="1"/>
        <item x="0"/>
        <item t="default"/>
      </items>
    </pivotField>
    <pivotField showAll="0">
      <items count="3">
        <item x="0"/>
        <item x="1"/>
        <item t="default"/>
      </items>
    </pivotField>
  </pivotFields>
  <rowFields count="2">
    <field x="28"/>
    <field x="4"/>
  </rowFields>
  <rowItems count="3">
    <i>
      <x/>
    </i>
    <i>
      <x v="1"/>
    </i>
    <i t="grand">
      <x/>
    </i>
  </rowItems>
  <colItems count="1">
    <i/>
  </colItems>
  <dataFields count="1">
    <dataField name="Count of Employee_Name" fld="0" subtotal="count" baseField="0" baseItem="0"/>
  </dataFields>
  <chartFormats count="4">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8" count="1" selected="0">
            <x v="1"/>
          </reference>
        </references>
      </pivotArea>
    </chartFormat>
    <chartFormat chart="6" format="4">
      <pivotArea type="data" outline="0" fieldPosition="0">
        <references count="2">
          <reference field="4294967294" count="1" selected="0">
            <x v="0"/>
          </reference>
          <reference field="2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9898D7-7954-4838-B8CC-D0E9CEF2A544}"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64:I93" firstHeaderRow="1" firstDataRow="1" firstDataCol="1"/>
  <pivotFields count="31">
    <pivotField showAll="0"/>
    <pivotField showAll="0"/>
    <pivotField dataField="1" showAll="0"/>
    <pivotField showAll="0">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pivotField>
    <pivotField axis="axisRow"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numFmtId="164" showAll="0"/>
    <pivotField showAll="0"/>
    <pivotField showAll="0"/>
    <pivotField showAll="0"/>
    <pivotField showAll="0"/>
    <pivotField showAll="0"/>
    <pivotField numFmtId="164" showAll="0"/>
    <pivotField numFmtId="164" showAll="0"/>
    <pivotField showAll="0"/>
    <pivotField showAll="0"/>
    <pivotField showAll="0"/>
    <pivotField showAll="0">
      <items count="22">
        <item x="6"/>
        <item x="5"/>
        <item x="20"/>
        <item x="12"/>
        <item x="8"/>
        <item x="19"/>
        <item x="10"/>
        <item x="18"/>
        <item x="3"/>
        <item x="17"/>
        <item x="13"/>
        <item x="15"/>
        <item x="14"/>
        <item x="11"/>
        <item x="7"/>
        <item x="2"/>
        <item x="16"/>
        <item x="0"/>
        <item x="9"/>
        <item x="1"/>
        <item x="4"/>
        <item t="default"/>
      </items>
    </pivotField>
    <pivotField showAll="0"/>
    <pivotField showAll="0"/>
    <pivotField showAll="0"/>
    <pivotField showAll="0"/>
    <pivotField showAll="0"/>
    <pivotField numFmtId="164" showAll="0"/>
    <pivotField showAll="0"/>
    <pivotField showAll="0"/>
    <pivotField showAll="0"/>
    <pivotField showAll="0"/>
    <pivotField showAll="0" defaultSubtotal="0">
      <items count="2">
        <item x="0"/>
        <item x="1"/>
      </items>
    </pivotField>
    <pivotField showAll="0" defaultSubtotal="0">
      <items count="2">
        <item x="0"/>
        <item x="1"/>
      </items>
    </pivotField>
    <pivotField showAll="0">
      <items count="3">
        <item x="0"/>
        <item x="1"/>
        <item t="default"/>
      </items>
    </pivotField>
  </pivotFields>
  <rowFields count="1">
    <field x="4"/>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Salary" fld="2" subtotal="average" baseField="4"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E25F1B-83A4-4E64-B0C4-6030DF253A9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102:J108" firstHeaderRow="1" firstDataRow="1" firstDataCol="1"/>
  <pivotFields count="31">
    <pivotField showAll="0"/>
    <pivotField showAll="0"/>
    <pivotField showAll="0"/>
    <pivotField showAll="0">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numFmtId="164" showAll="0"/>
    <pivotField showAll="0"/>
    <pivotField showAll="0"/>
    <pivotField showAll="0"/>
    <pivotField showAll="0"/>
    <pivotField showAll="0"/>
    <pivotField numFmtId="164" showAll="0"/>
    <pivotField numFmtId="164" showAll="0"/>
    <pivotField showAll="0"/>
    <pivotField showAll="0"/>
    <pivotField showAll="0"/>
    <pivotField showAll="0">
      <items count="22">
        <item x="6"/>
        <item x="5"/>
        <item x="20"/>
        <item x="12"/>
        <item x="8"/>
        <item x="19"/>
        <item x="10"/>
        <item x="18"/>
        <item x="3"/>
        <item x="17"/>
        <item x="13"/>
        <item x="15"/>
        <item x="14"/>
        <item x="11"/>
        <item x="7"/>
        <item x="2"/>
        <item x="16"/>
        <item x="0"/>
        <item x="9"/>
        <item x="1"/>
        <item x="4"/>
        <item t="default"/>
      </items>
    </pivotField>
    <pivotField showAll="0"/>
    <pivotField showAll="0"/>
    <pivotField showAll="0"/>
    <pivotField showAll="0"/>
    <pivotField showAll="0"/>
    <pivotField numFmtId="164" showAll="0"/>
    <pivotField showAll="0"/>
    <pivotField dataField="1" showAll="0">
      <items count="21">
        <item x="0"/>
        <item x="4"/>
        <item x="2"/>
        <item x="6"/>
        <item x="14"/>
        <item x="16"/>
        <item x="10"/>
        <item x="12"/>
        <item x="9"/>
        <item x="18"/>
        <item x="17"/>
        <item x="8"/>
        <item x="13"/>
        <item x="15"/>
        <item x="3"/>
        <item x="7"/>
        <item x="1"/>
        <item x="19"/>
        <item x="5"/>
        <item x="11"/>
        <item t="default"/>
      </items>
    </pivotField>
    <pivotField showAll="0"/>
    <pivotField axis="axisRow" showAll="0">
      <items count="6">
        <item x="4"/>
        <item x="0"/>
        <item x="1"/>
        <item x="2"/>
        <item x="3"/>
        <item t="default"/>
      </items>
    </pivotField>
    <pivotField showAll="0" defaultSubtotal="0">
      <items count="2">
        <item x="0"/>
        <item x="1"/>
      </items>
    </pivotField>
    <pivotField showAll="0" defaultSubtotal="0">
      <items count="2">
        <item x="0"/>
        <item x="1"/>
      </items>
    </pivotField>
    <pivotField showAll="0" defaultSubtotal="0">
      <items count="2">
        <item x="0"/>
        <item x="1"/>
      </items>
    </pivotField>
  </pivotFields>
  <rowFields count="1">
    <field x="27"/>
  </rowFields>
  <rowItems count="6">
    <i>
      <x/>
    </i>
    <i>
      <x v="1"/>
    </i>
    <i>
      <x v="2"/>
    </i>
    <i>
      <x v="3"/>
    </i>
    <i>
      <x v="4"/>
    </i>
    <i t="grand">
      <x/>
    </i>
  </rowItems>
  <colItems count="1">
    <i/>
  </colItems>
  <dataFields count="1">
    <dataField name="Average of Absences" fld="25" subtotal="average" baseField="27"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7" count="1" selected="0">
            <x v="0"/>
          </reference>
        </references>
      </pivotArea>
    </chartFormat>
    <chartFormat chart="0" format="2">
      <pivotArea type="data" outline="0" fieldPosition="0">
        <references count="2">
          <reference field="4294967294" count="1" selected="0">
            <x v="0"/>
          </reference>
          <reference field="27" count="1" selected="0">
            <x v="1"/>
          </reference>
        </references>
      </pivotArea>
    </chartFormat>
    <chartFormat chart="0" format="3">
      <pivotArea type="data" outline="0" fieldPosition="0">
        <references count="2">
          <reference field="4294967294" count="1" selected="0">
            <x v="0"/>
          </reference>
          <reference field="27" count="1" selected="0">
            <x v="2"/>
          </reference>
        </references>
      </pivotArea>
    </chartFormat>
    <chartFormat chart="0" format="4">
      <pivotArea type="data" outline="0" fieldPosition="0">
        <references count="2">
          <reference field="4294967294" count="1" selected="0">
            <x v="0"/>
          </reference>
          <reference field="27" count="1" selected="0">
            <x v="3"/>
          </reference>
        </references>
      </pivotArea>
    </chartFormat>
    <chartFormat chart="0" format="5">
      <pivotArea type="data" outline="0" fieldPosition="0">
        <references count="2">
          <reference field="4294967294" count="1" selected="0">
            <x v="0"/>
          </reference>
          <reference field="27" count="1" selected="0">
            <x v="4"/>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27" count="1" selected="0">
            <x v="0"/>
          </reference>
        </references>
      </pivotArea>
    </chartFormat>
    <chartFormat chart="4" format="14">
      <pivotArea type="data" outline="0" fieldPosition="0">
        <references count="2">
          <reference field="4294967294" count="1" selected="0">
            <x v="0"/>
          </reference>
          <reference field="27" count="1" selected="0">
            <x v="1"/>
          </reference>
        </references>
      </pivotArea>
    </chartFormat>
    <chartFormat chart="4" format="15">
      <pivotArea type="data" outline="0" fieldPosition="0">
        <references count="2">
          <reference field="4294967294" count="1" selected="0">
            <x v="0"/>
          </reference>
          <reference field="27" count="1" selected="0">
            <x v="2"/>
          </reference>
        </references>
      </pivotArea>
    </chartFormat>
    <chartFormat chart="4" format="16">
      <pivotArea type="data" outline="0" fieldPosition="0">
        <references count="2">
          <reference field="4294967294" count="1" selected="0">
            <x v="0"/>
          </reference>
          <reference field="27" count="1" selected="0">
            <x v="3"/>
          </reference>
        </references>
      </pivotArea>
    </chartFormat>
    <chartFormat chart="4" format="17">
      <pivotArea type="data" outline="0" fieldPosition="0">
        <references count="2">
          <reference field="4294967294" count="1" selected="0">
            <x v="0"/>
          </reference>
          <reference field="2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305CF3-E66E-4F83-8008-B7A9E839E58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4:B70" firstHeaderRow="1" firstDataRow="1" firstDataCol="1"/>
  <pivotFields count="31">
    <pivotField showAll="0"/>
    <pivotField showAll="0"/>
    <pivotField dataField="1" showAll="0"/>
    <pivotField showAll="0">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numFmtId="164" showAll="0"/>
    <pivotField showAll="0"/>
    <pivotField showAll="0"/>
    <pivotField showAll="0"/>
    <pivotField showAll="0"/>
    <pivotField showAll="0"/>
    <pivotField numFmtId="164" showAll="0"/>
    <pivotField numFmtId="164" showAll="0"/>
    <pivotField showAll="0"/>
    <pivotField showAll="0"/>
    <pivotField showAll="0"/>
    <pivotField showAll="0">
      <items count="22">
        <item x="6"/>
        <item x="5"/>
        <item x="20"/>
        <item x="12"/>
        <item x="8"/>
        <item x="19"/>
        <item x="10"/>
        <item x="18"/>
        <item x="3"/>
        <item x="17"/>
        <item x="13"/>
        <item x="15"/>
        <item x="14"/>
        <item x="11"/>
        <item x="7"/>
        <item x="2"/>
        <item x="16"/>
        <item x="0"/>
        <item x="9"/>
        <item x="1"/>
        <item x="4"/>
        <item t="default"/>
      </items>
    </pivotField>
    <pivotField showAll="0"/>
    <pivotField showAll="0"/>
    <pivotField showAll="0"/>
    <pivotField showAll="0"/>
    <pivotField showAll="0"/>
    <pivotField numFmtId="164" showAll="0"/>
    <pivotField showAll="0"/>
    <pivotField showAll="0"/>
    <pivotField showAll="0"/>
    <pivotField axis="axisRow" showAll="0">
      <items count="6">
        <item x="4"/>
        <item x="0"/>
        <item x="1"/>
        <item x="2"/>
        <item x="3"/>
        <item t="default"/>
      </items>
    </pivotField>
    <pivotField showAll="0" defaultSubtotal="0">
      <items count="2">
        <item x="0"/>
        <item x="1"/>
      </items>
    </pivotField>
    <pivotField showAll="0" defaultSubtotal="0">
      <items count="2">
        <item x="0"/>
        <item x="1"/>
      </items>
    </pivotField>
    <pivotField showAll="0">
      <items count="3">
        <item x="0"/>
        <item x="1"/>
        <item t="default"/>
      </items>
    </pivotField>
  </pivotFields>
  <rowFields count="1">
    <field x="27"/>
  </rowFields>
  <rowItems count="6">
    <i>
      <x/>
    </i>
    <i>
      <x v="1"/>
    </i>
    <i>
      <x v="2"/>
    </i>
    <i>
      <x v="3"/>
    </i>
    <i>
      <x v="4"/>
    </i>
    <i t="grand">
      <x/>
    </i>
  </rowItems>
  <colItems count="1">
    <i/>
  </colItems>
  <dataFields count="1">
    <dataField name="Average of Salary" fld="2" subtotal="average" baseField="27"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E4F500B-D48A-4524-B42B-FAB3CCE6F27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42:I45" firstHeaderRow="1" firstDataRow="1" firstDataCol="1"/>
  <pivotFields count="31">
    <pivotField showAll="0"/>
    <pivotField showAll="0"/>
    <pivotField dataField="1" showAll="0"/>
    <pivotField showAll="0">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numFmtId="164" showAll="0"/>
    <pivotField axis="axisRow" showAll="0">
      <items count="3">
        <item x="1"/>
        <item x="0"/>
        <item t="default"/>
      </items>
    </pivotField>
    <pivotField showAll="0"/>
    <pivotField showAll="0"/>
    <pivotField showAll="0"/>
    <pivotField showAll="0"/>
    <pivotField numFmtId="164" showAll="0"/>
    <pivotField numFmtId="164" showAll="0"/>
    <pivotField showAll="0"/>
    <pivotField showAll="0"/>
    <pivotField showAll="0"/>
    <pivotField showAll="0">
      <items count="22">
        <item x="6"/>
        <item x="5"/>
        <item x="20"/>
        <item x="12"/>
        <item x="8"/>
        <item x="19"/>
        <item x="10"/>
        <item x="18"/>
        <item x="3"/>
        <item x="17"/>
        <item x="13"/>
        <item x="15"/>
        <item x="14"/>
        <item x="11"/>
        <item x="7"/>
        <item x="2"/>
        <item x="16"/>
        <item x="0"/>
        <item x="9"/>
        <item x="1"/>
        <item x="4"/>
        <item t="default"/>
      </items>
    </pivotField>
    <pivotField showAll="0"/>
    <pivotField showAll="0"/>
    <pivotField showAll="0"/>
    <pivotField showAll="0"/>
    <pivotField showAll="0"/>
    <pivotField numFmtId="164" showAll="0"/>
    <pivotField showAll="0"/>
    <pivotField showAll="0"/>
    <pivotField showAll="0"/>
    <pivotField showAll="0"/>
    <pivotField showAll="0" defaultSubtotal="0">
      <items count="2">
        <item x="0"/>
        <item x="1"/>
      </items>
    </pivotField>
    <pivotField showAll="0" defaultSubtotal="0">
      <items count="2">
        <item x="0"/>
        <item x="1"/>
      </items>
    </pivotField>
    <pivotField showAll="0">
      <items count="3">
        <item x="0"/>
        <item x="1"/>
        <item t="default"/>
      </items>
    </pivotField>
  </pivotFields>
  <rowFields count="1">
    <field x="7"/>
  </rowFields>
  <rowItems count="3">
    <i>
      <x/>
    </i>
    <i>
      <x v="1"/>
    </i>
    <i t="grand">
      <x/>
    </i>
  </rowItems>
  <colItems count="1">
    <i/>
  </colItems>
  <dataFields count="1">
    <dataField name="Average of Salary" fld="2" subtotal="average" baseField="7"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2" format="4">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0F9FA31-BF7D-41CC-A4C6-1F296DDCD4E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2:B109" firstHeaderRow="1" firstDataRow="1" firstDataCol="1"/>
  <pivotFields count="31">
    <pivotField showAll="0"/>
    <pivotField showAll="0"/>
    <pivotField showAll="0"/>
    <pivotField showAll="0">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numFmtId="164" showAll="0"/>
    <pivotField showAll="0"/>
    <pivotField showAll="0"/>
    <pivotField showAll="0"/>
    <pivotField showAll="0"/>
    <pivotField showAll="0"/>
    <pivotField numFmtId="164" showAll="0"/>
    <pivotField numFmtId="164" showAll="0"/>
    <pivotField showAll="0"/>
    <pivotField showAll="0"/>
    <pivotField axis="axisRow" showAll="0">
      <items count="7">
        <item x="3"/>
        <item x="5"/>
        <item x="1"/>
        <item x="0"/>
        <item x="4"/>
        <item x="2"/>
        <item t="default"/>
      </items>
    </pivotField>
    <pivotField showAll="0">
      <items count="22">
        <item x="6"/>
        <item x="5"/>
        <item x="20"/>
        <item x="12"/>
        <item x="8"/>
        <item x="19"/>
        <item x="10"/>
        <item x="18"/>
        <item x="3"/>
        <item x="17"/>
        <item x="13"/>
        <item x="15"/>
        <item x="14"/>
        <item x="11"/>
        <item x="7"/>
        <item x="2"/>
        <item x="16"/>
        <item x="0"/>
        <item x="9"/>
        <item x="1"/>
        <item x="4"/>
        <item t="default"/>
      </items>
    </pivotField>
    <pivotField showAll="0"/>
    <pivotField showAll="0"/>
    <pivotField showAll="0"/>
    <pivotField showAll="0"/>
    <pivotField showAll="0"/>
    <pivotField numFmtId="164" showAll="0"/>
    <pivotField showAll="0"/>
    <pivotField dataField="1" showAll="0"/>
    <pivotField showAll="0"/>
    <pivotField showAll="0"/>
    <pivotField showAll="0" defaultSubtotal="0">
      <items count="2">
        <item x="0"/>
        <item x="1"/>
      </items>
    </pivotField>
    <pivotField showAll="0" defaultSubtotal="0">
      <items count="2">
        <item x="0"/>
        <item x="1"/>
      </items>
    </pivotField>
    <pivotField showAll="0" defaultSubtotal="0">
      <items count="2">
        <item x="0"/>
        <item x="1"/>
      </items>
    </pivotField>
  </pivotFields>
  <rowFields count="1">
    <field x="16"/>
  </rowFields>
  <rowItems count="7">
    <i>
      <x/>
    </i>
    <i>
      <x v="1"/>
    </i>
    <i>
      <x v="2"/>
    </i>
    <i>
      <x v="3"/>
    </i>
    <i>
      <x v="4"/>
    </i>
    <i>
      <x v="5"/>
    </i>
    <i t="grand">
      <x/>
    </i>
  </rowItems>
  <colItems count="1">
    <i/>
  </colItems>
  <dataFields count="1">
    <dataField name="Average of Absences" fld="25" subtotal="average" baseField="16"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4">
      <pivotArea type="data" outline="0" fieldPosition="0">
        <references count="2">
          <reference field="4294967294" count="1" selected="0">
            <x v="0"/>
          </reference>
          <reference field="16" count="1" selected="0">
            <x v="3"/>
          </reference>
        </references>
      </pivotArea>
    </chartFormat>
    <chartFormat chart="0" format="5">
      <pivotArea type="data" outline="0" fieldPosition="0">
        <references count="2">
          <reference field="4294967294" count="1" selected="0">
            <x v="0"/>
          </reference>
          <reference field="16" count="1" selected="0">
            <x v="4"/>
          </reference>
        </references>
      </pivotArea>
    </chartFormat>
    <chartFormat chart="0" format="6">
      <pivotArea type="data" outline="0" fieldPosition="0">
        <references count="2">
          <reference field="4294967294" count="1" selected="0">
            <x v="0"/>
          </reference>
          <reference field="16" count="1" selected="0">
            <x v="5"/>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16" count="1" selected="0">
            <x v="0"/>
          </reference>
        </references>
      </pivotArea>
    </chartFormat>
    <chartFormat chart="6" format="16">
      <pivotArea type="data" outline="0" fieldPosition="0">
        <references count="2">
          <reference field="4294967294" count="1" selected="0">
            <x v="0"/>
          </reference>
          <reference field="16" count="1" selected="0">
            <x v="1"/>
          </reference>
        </references>
      </pivotArea>
    </chartFormat>
    <chartFormat chart="6" format="17">
      <pivotArea type="data" outline="0" fieldPosition="0">
        <references count="2">
          <reference field="4294967294" count="1" selected="0">
            <x v="0"/>
          </reference>
          <reference field="16" count="1" selected="0">
            <x v="2"/>
          </reference>
        </references>
      </pivotArea>
    </chartFormat>
    <chartFormat chart="6" format="18">
      <pivotArea type="data" outline="0" fieldPosition="0">
        <references count="2">
          <reference field="4294967294" count="1" selected="0">
            <x v="0"/>
          </reference>
          <reference field="16" count="1" selected="0">
            <x v="3"/>
          </reference>
        </references>
      </pivotArea>
    </chartFormat>
    <chartFormat chart="6" format="19">
      <pivotArea type="data" outline="0" fieldPosition="0">
        <references count="2">
          <reference field="4294967294" count="1" selected="0">
            <x v="0"/>
          </reference>
          <reference field="16" count="1" selected="0">
            <x v="4"/>
          </reference>
        </references>
      </pivotArea>
    </chartFormat>
    <chartFormat chart="6" format="20">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7744177-C943-4F29-AE1E-26C1234A4CA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7:H30" firstHeaderRow="1" firstDataRow="1" firstDataCol="1"/>
  <pivotFields count="31">
    <pivotField showAll="0"/>
    <pivotField showAll="0"/>
    <pivotField dataField="1" showAll="0"/>
    <pivotField axis="axisRow" showAll="0" measureFilter="1">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numFmtId="164" showAll="0"/>
    <pivotField showAll="0"/>
    <pivotField showAll="0"/>
    <pivotField showAll="0"/>
    <pivotField showAll="0"/>
    <pivotField showAll="0"/>
    <pivotField numFmtId="164" showAll="0"/>
    <pivotField numFmtId="164" showAll="0"/>
    <pivotField showAll="0"/>
    <pivotField showAll="0"/>
    <pivotField showAll="0">
      <items count="7">
        <item x="3"/>
        <item x="5"/>
        <item x="1"/>
        <item x="0"/>
        <item x="4"/>
        <item x="2"/>
        <item t="default"/>
      </items>
    </pivotField>
    <pivotField showAll="0">
      <items count="22">
        <item x="6"/>
        <item x="5"/>
        <item x="20"/>
        <item x="12"/>
        <item x="8"/>
        <item x="19"/>
        <item x="10"/>
        <item x="18"/>
        <item x="3"/>
        <item x="17"/>
        <item x="13"/>
        <item x="15"/>
        <item x="14"/>
        <item x="11"/>
        <item x="7"/>
        <item x="2"/>
        <item x="16"/>
        <item x="0"/>
        <item x="9"/>
        <item x="1"/>
        <item x="4"/>
        <item t="default"/>
      </items>
    </pivotField>
    <pivotField showAll="0"/>
    <pivotField showAll="0"/>
    <pivotField showAll="0"/>
    <pivotField showAll="0"/>
    <pivotField showAll="0"/>
    <pivotField numFmtId="164" showAll="0"/>
    <pivotField showAll="0"/>
    <pivotField showAll="0"/>
    <pivotField showAll="0"/>
    <pivotField showAll="0"/>
    <pivotField showAll="0" defaultSubtotal="0">
      <items count="2">
        <item x="0"/>
        <item x="1"/>
      </items>
    </pivotField>
    <pivotField showAll="0">
      <items count="3">
        <item x="1"/>
        <item x="0"/>
        <item t="default"/>
      </items>
    </pivotField>
    <pivotField axis="axisRow" showAll="0">
      <items count="3">
        <item x="0"/>
        <item x="1"/>
        <item t="default"/>
      </items>
    </pivotField>
  </pivotFields>
  <rowFields count="2">
    <field x="30"/>
    <field x="3"/>
  </rowFields>
  <rowItems count="13">
    <i>
      <x/>
    </i>
    <i r="1">
      <x v="5"/>
    </i>
    <i r="1">
      <x v="10"/>
    </i>
    <i r="1">
      <x v="11"/>
    </i>
    <i r="1">
      <x v="13"/>
    </i>
    <i r="1">
      <x v="19"/>
    </i>
    <i>
      <x v="1"/>
    </i>
    <i r="1">
      <x v="2"/>
    </i>
    <i r="1">
      <x v="6"/>
    </i>
    <i r="1">
      <x v="21"/>
    </i>
    <i r="1">
      <x v="23"/>
    </i>
    <i r="1">
      <x v="27"/>
    </i>
    <i t="grand">
      <x/>
    </i>
  </rowItems>
  <colItems count="1">
    <i/>
  </colItems>
  <dataFields count="1">
    <dataField name="Average of Salary" fld="2" subtotal="average" baseField="3"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4D996BD-F42D-47DB-8E44-4DA32437FDD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7:B24" firstHeaderRow="1" firstDataRow="1" firstDataCol="1"/>
  <pivotFields count="31">
    <pivotField showAll="0"/>
    <pivotField showAll="0"/>
    <pivotField dataField="1" showAll="0"/>
    <pivotField showAll="0">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numFmtId="164" showAll="0"/>
    <pivotField showAll="0"/>
    <pivotField showAll="0"/>
    <pivotField showAll="0"/>
    <pivotField showAll="0"/>
    <pivotField showAll="0"/>
    <pivotField numFmtId="164" showAll="0"/>
    <pivotField numFmtId="164" showAll="0"/>
    <pivotField showAll="0"/>
    <pivotField showAll="0"/>
    <pivotField axis="axisRow" showAll="0">
      <items count="7">
        <item x="3"/>
        <item x="5"/>
        <item x="1"/>
        <item x="0"/>
        <item x="4"/>
        <item x="2"/>
        <item t="default"/>
      </items>
    </pivotField>
    <pivotField showAll="0">
      <items count="22">
        <item x="6"/>
        <item x="5"/>
        <item x="20"/>
        <item x="12"/>
        <item x="8"/>
        <item x="19"/>
        <item x="10"/>
        <item x="18"/>
        <item x="3"/>
        <item x="17"/>
        <item x="13"/>
        <item x="15"/>
        <item x="14"/>
        <item x="11"/>
        <item x="7"/>
        <item x="2"/>
        <item x="16"/>
        <item x="0"/>
        <item x="9"/>
        <item x="1"/>
        <item x="4"/>
        <item t="default"/>
      </items>
    </pivotField>
    <pivotField showAll="0"/>
    <pivotField showAll="0"/>
    <pivotField showAll="0"/>
    <pivotField showAll="0"/>
    <pivotField showAll="0"/>
    <pivotField numFmtId="164" showAll="0"/>
    <pivotField showAll="0"/>
    <pivotField showAll="0"/>
    <pivotField showAll="0"/>
    <pivotField showAll="0"/>
    <pivotField showAll="0" defaultSubtotal="0">
      <items count="2">
        <item x="0"/>
        <item x="1"/>
      </items>
    </pivotField>
    <pivotField showAll="0">
      <items count="3">
        <item x="1"/>
        <item x="0"/>
        <item t="default"/>
      </items>
    </pivotField>
    <pivotField showAll="0">
      <items count="3">
        <item x="0"/>
        <item x="1"/>
        <item t="default"/>
      </items>
    </pivotField>
  </pivotFields>
  <rowFields count="1">
    <field x="16"/>
  </rowFields>
  <rowItems count="7">
    <i>
      <x/>
    </i>
    <i>
      <x v="1"/>
    </i>
    <i>
      <x v="2"/>
    </i>
    <i>
      <x v="3"/>
    </i>
    <i>
      <x v="4"/>
    </i>
    <i>
      <x v="5"/>
    </i>
    <i t="grand">
      <x/>
    </i>
  </rowItems>
  <colItems count="1">
    <i/>
  </colItems>
  <dataFields count="1">
    <dataField name="Average of Salary" fld="2" subtotal="average" baseField="16"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4">
      <pivotArea type="data" outline="0" fieldPosition="0">
        <references count="2">
          <reference field="4294967294" count="1" selected="0">
            <x v="0"/>
          </reference>
          <reference field="16" count="1" selected="0">
            <x v="3"/>
          </reference>
        </references>
      </pivotArea>
    </chartFormat>
    <chartFormat chart="0" format="5">
      <pivotArea type="data" outline="0" fieldPosition="0">
        <references count="2">
          <reference field="4294967294" count="1" selected="0">
            <x v="0"/>
          </reference>
          <reference field="16" count="1" selected="0">
            <x v="4"/>
          </reference>
        </references>
      </pivotArea>
    </chartFormat>
    <chartFormat chart="0" format="6">
      <pivotArea type="data" outline="0" fieldPosition="0">
        <references count="2">
          <reference field="4294967294" count="1" selected="0">
            <x v="0"/>
          </reference>
          <reference field="16" count="1" selected="0">
            <x v="5"/>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6" count="1" selected="0">
            <x v="0"/>
          </reference>
        </references>
      </pivotArea>
    </chartFormat>
    <chartFormat chart="3" format="16">
      <pivotArea type="data" outline="0" fieldPosition="0">
        <references count="2">
          <reference field="4294967294" count="1" selected="0">
            <x v="0"/>
          </reference>
          <reference field="16" count="1" selected="0">
            <x v="1"/>
          </reference>
        </references>
      </pivotArea>
    </chartFormat>
    <chartFormat chart="3" format="17">
      <pivotArea type="data" outline="0" fieldPosition="0">
        <references count="2">
          <reference field="4294967294" count="1" selected="0">
            <x v="0"/>
          </reference>
          <reference field="16" count="1" selected="0">
            <x v="2"/>
          </reference>
        </references>
      </pivotArea>
    </chartFormat>
    <chartFormat chart="3" format="18">
      <pivotArea type="data" outline="0" fieldPosition="0">
        <references count="2">
          <reference field="4294967294" count="1" selected="0">
            <x v="0"/>
          </reference>
          <reference field="16" count="1" selected="0">
            <x v="3"/>
          </reference>
        </references>
      </pivotArea>
    </chartFormat>
    <chartFormat chart="3" format="19">
      <pivotArea type="data" outline="0" fieldPosition="0">
        <references count="2">
          <reference field="4294967294" count="1" selected="0">
            <x v="0"/>
          </reference>
          <reference field="16" count="1" selected="0">
            <x v="4"/>
          </reference>
        </references>
      </pivotArea>
    </chartFormat>
    <chartFormat chart="3" format="20">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6E0238B-4F1A-4D6B-8306-6A487A8898A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2:B45" firstHeaderRow="1" firstDataRow="1" firstDataCol="1"/>
  <pivotFields count="31">
    <pivotField showAll="0"/>
    <pivotField showAll="0"/>
    <pivotField dataField="1" showAll="0">
      <items count="309">
        <item x="307"/>
        <item x="138"/>
        <item x="229"/>
        <item x="174"/>
        <item x="150"/>
        <item x="214"/>
        <item x="157"/>
        <item x="74"/>
        <item x="245"/>
        <item x="224"/>
        <item x="151"/>
        <item x="197"/>
        <item x="230"/>
        <item x="222"/>
        <item x="141"/>
        <item x="125"/>
        <item x="220"/>
        <item x="11"/>
        <item x="206"/>
        <item x="172"/>
        <item x="244"/>
        <item x="8"/>
        <item x="264"/>
        <item x="114"/>
        <item x="277"/>
        <item x="198"/>
        <item x="304"/>
        <item x="81"/>
        <item x="116"/>
        <item x="290"/>
        <item x="131"/>
        <item x="9"/>
        <item x="294"/>
        <item x="51"/>
        <item x="233"/>
        <item x="196"/>
        <item x="146"/>
        <item x="250"/>
        <item x="4"/>
        <item x="249"/>
        <item x="20"/>
        <item x="71"/>
        <item x="102"/>
        <item x="103"/>
        <item x="168"/>
        <item x="137"/>
        <item x="253"/>
        <item x="171"/>
        <item x="251"/>
        <item x="123"/>
        <item x="100"/>
        <item x="14"/>
        <item x="191"/>
        <item x="166"/>
        <item x="203"/>
        <item x="173"/>
        <item x="38"/>
        <item x="199"/>
        <item x="109"/>
        <item x="207"/>
        <item x="101"/>
        <item x="240"/>
        <item x="69"/>
        <item x="19"/>
        <item x="91"/>
        <item x="28"/>
        <item x="212"/>
        <item x="149"/>
        <item x="179"/>
        <item x="43"/>
        <item x="82"/>
        <item x="10"/>
        <item x="121"/>
        <item x="105"/>
        <item x="257"/>
        <item x="298"/>
        <item x="180"/>
        <item x="132"/>
        <item x="232"/>
        <item x="184"/>
        <item x="65"/>
        <item x="186"/>
        <item x="288"/>
        <item x="94"/>
        <item x="248"/>
        <item x="58"/>
        <item x="63"/>
        <item x="279"/>
        <item x="83"/>
        <item x="64"/>
        <item x="5"/>
        <item x="194"/>
        <item x="62"/>
        <item x="89"/>
        <item x="24"/>
        <item x="15"/>
        <item x="285"/>
        <item x="215"/>
        <item x="246"/>
        <item x="299"/>
        <item x="187"/>
        <item x="265"/>
        <item x="68"/>
        <item x="276"/>
        <item x="297"/>
        <item x="286"/>
        <item x="92"/>
        <item x="13"/>
        <item x="258"/>
        <item x="17"/>
        <item x="85"/>
        <item x="53"/>
        <item x="72"/>
        <item x="271"/>
        <item x="7"/>
        <item x="50"/>
        <item x="104"/>
        <item x="223"/>
        <item x="300"/>
        <item x="110"/>
        <item x="80"/>
        <item x="268"/>
        <item x="213"/>
        <item x="84"/>
        <item x="44"/>
        <item x="140"/>
        <item x="302"/>
        <item x="239"/>
        <item x="255"/>
        <item x="139"/>
        <item x="274"/>
        <item x="144"/>
        <item x="112"/>
        <item x="177"/>
        <item x="267"/>
        <item x="234"/>
        <item x="106"/>
        <item x="67"/>
        <item x="73"/>
        <item x="41"/>
        <item x="227"/>
        <item x="228"/>
        <item x="221"/>
        <item x="159"/>
        <item x="201"/>
        <item x="124"/>
        <item x="291"/>
        <item x="34"/>
        <item x="175"/>
        <item x="263"/>
        <item x="0"/>
        <item x="79"/>
        <item x="183"/>
        <item x="181"/>
        <item x="22"/>
        <item x="117"/>
        <item x="29"/>
        <item x="266"/>
        <item x="270"/>
        <item x="205"/>
        <item x="52"/>
        <item x="182"/>
        <item x="143"/>
        <item x="235"/>
        <item x="56"/>
        <item x="192"/>
        <item x="167"/>
        <item x="128"/>
        <item x="209"/>
        <item x="161"/>
        <item x="269"/>
        <item x="200"/>
        <item x="33"/>
        <item x="118"/>
        <item x="254"/>
        <item x="152"/>
        <item x="261"/>
        <item x="90"/>
        <item x="49"/>
        <item x="122"/>
        <item x="31"/>
        <item x="280"/>
        <item x="158"/>
        <item x="219"/>
        <item x="163"/>
        <item x="46"/>
        <item x="47"/>
        <item x="21"/>
        <item x="2"/>
        <item x="231"/>
        <item x="3"/>
        <item x="134"/>
        <item x="30"/>
        <item x="147"/>
        <item x="99"/>
        <item x="262"/>
        <item x="60"/>
        <item x="303"/>
        <item x="88"/>
        <item x="156"/>
        <item x="115"/>
        <item x="23"/>
        <item x="292"/>
        <item x="259"/>
        <item x="202"/>
        <item x="45"/>
        <item x="113"/>
        <item x="278"/>
        <item x="169"/>
        <item x="98"/>
        <item x="54"/>
        <item x="126"/>
        <item x="135"/>
        <item x="176"/>
        <item x="48"/>
        <item x="208"/>
        <item x="111"/>
        <item x="145"/>
        <item x="133"/>
        <item x="16"/>
        <item x="95"/>
        <item x="164"/>
        <item x="301"/>
        <item x="127"/>
        <item x="75"/>
        <item x="153"/>
        <item x="120"/>
        <item x="87"/>
        <item x="40"/>
        <item x="204"/>
        <item x="190"/>
        <item x="275"/>
        <item x="189"/>
        <item x="93"/>
        <item x="36"/>
        <item x="256"/>
        <item x="170"/>
        <item x="217"/>
        <item x="77"/>
        <item x="27"/>
        <item x="32"/>
        <item x="193"/>
        <item x="216"/>
        <item x="108"/>
        <item x="283"/>
        <item x="78"/>
        <item x="281"/>
        <item x="284"/>
        <item x="35"/>
        <item x="165"/>
        <item x="293"/>
        <item x="160"/>
        <item x="155"/>
        <item x="136"/>
        <item x="225"/>
        <item x="57"/>
        <item x="185"/>
        <item x="295"/>
        <item x="61"/>
        <item x="243"/>
        <item x="260"/>
        <item x="252"/>
        <item x="195"/>
        <item x="247"/>
        <item x="287"/>
        <item x="306"/>
        <item x="236"/>
        <item x="273"/>
        <item x="12"/>
        <item x="59"/>
        <item x="272"/>
        <item x="162"/>
        <item x="211"/>
        <item x="154"/>
        <item x="37"/>
        <item x="218"/>
        <item x="6"/>
        <item x="226"/>
        <item x="70"/>
        <item x="129"/>
        <item x="119"/>
        <item x="86"/>
        <item x="97"/>
        <item x="39"/>
        <item x="282"/>
        <item x="66"/>
        <item x="25"/>
        <item x="1"/>
        <item x="178"/>
        <item x="142"/>
        <item x="26"/>
        <item x="296"/>
        <item x="210"/>
        <item x="18"/>
        <item x="42"/>
        <item x="289"/>
        <item x="107"/>
        <item x="237"/>
        <item x="76"/>
        <item x="241"/>
        <item x="242"/>
        <item x="238"/>
        <item x="188"/>
        <item x="55"/>
        <item x="96"/>
        <item x="130"/>
        <item x="305"/>
        <item x="148"/>
        <item t="default"/>
      </items>
    </pivotField>
    <pivotField showAll="0">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numFmtId="164" showAll="0"/>
    <pivotField showAll="0"/>
    <pivotField showAll="0"/>
    <pivotField showAll="0"/>
    <pivotField showAll="0"/>
    <pivotField showAll="0"/>
    <pivotField numFmtId="164" showAll="0"/>
    <pivotField numFmtId="164" showAll="0"/>
    <pivotField showAll="0"/>
    <pivotField showAll="0"/>
    <pivotField showAll="0"/>
    <pivotField axis="axisRow" showAll="0">
      <items count="22">
        <item x="6"/>
        <item x="5"/>
        <item x="20"/>
        <item x="12"/>
        <item x="8"/>
        <item x="19"/>
        <item x="10"/>
        <item x="18"/>
        <item x="3"/>
        <item x="17"/>
        <item x="13"/>
        <item x="15"/>
        <item x="14"/>
        <item x="11"/>
        <item x="7"/>
        <item x="2"/>
        <item x="16"/>
        <item x="0"/>
        <item x="9"/>
        <item x="1"/>
        <item x="4"/>
        <item t="default"/>
      </items>
    </pivotField>
    <pivotField showAll="0"/>
    <pivotField showAll="0"/>
    <pivotField showAll="0"/>
    <pivotField showAll="0"/>
    <pivotField showAll="0"/>
    <pivotField numFmtId="164" showAll="0"/>
    <pivotField showAll="0"/>
    <pivotField showAll="0"/>
    <pivotField showAll="0"/>
    <pivotField showAll="0"/>
    <pivotField showAll="0" defaultSubtotal="0">
      <items count="2">
        <item x="0"/>
        <item x="1"/>
      </items>
    </pivotField>
    <pivotField axis="axisRow" showAll="0">
      <items count="3">
        <item n="lowest salry " sd="0" x="1"/>
        <item n="higest salary" sd="0" x="0"/>
        <item t="default"/>
      </items>
    </pivotField>
    <pivotField showAll="0">
      <items count="3">
        <item x="0"/>
        <item x="1"/>
        <item t="default"/>
      </items>
    </pivotField>
  </pivotFields>
  <rowFields count="2">
    <field x="29"/>
    <field x="17"/>
  </rowFields>
  <rowItems count="3">
    <i>
      <x/>
    </i>
    <i>
      <x v="1"/>
    </i>
    <i t="grand">
      <x/>
    </i>
  </rowItems>
  <colItems count="1">
    <i/>
  </colItems>
  <dataFields count="1">
    <dataField name="Count of Salary" fld="2"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9" count="1" selected="0">
            <x v="1"/>
          </reference>
        </references>
      </pivotArea>
    </chartFormat>
    <chartFormat chart="0" format="2">
      <pivotArea type="data" outline="0" fieldPosition="0">
        <references count="2">
          <reference field="4294967294" count="1" selected="0">
            <x v="0"/>
          </reference>
          <reference field="29" count="1" selected="0">
            <x v="0"/>
          </reference>
        </references>
      </pivotArea>
    </chartFormat>
    <chartFormat chart="0" format="3">
      <pivotArea type="data" outline="0" fieldPosition="0">
        <references count="3">
          <reference field="4294967294" count="1" selected="0">
            <x v="0"/>
          </reference>
          <reference field="17" count="1" selected="0">
            <x v="2"/>
          </reference>
          <reference field="29" count="1" selected="0">
            <x v="0"/>
          </reference>
        </references>
      </pivotArea>
    </chartFormat>
    <chartFormat chart="1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8B3929-40A4-4D8B-964C-409407DC86E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71:H76" firstHeaderRow="1" firstDataRow="1" firstDataCol="1"/>
  <pivotFields count="31">
    <pivotField dataField="1" showAll="0">
      <items count="3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182"/>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14"/>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t="default"/>
      </items>
    </pivotField>
    <pivotField showAll="0"/>
    <pivotField showAll="0"/>
    <pivotField showAll="0">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numFmtId="164" showAll="0"/>
    <pivotField showAll="0"/>
    <pivotField showAll="0"/>
    <pivotField showAll="0"/>
    <pivotField showAll="0"/>
    <pivotField showAll="0"/>
    <pivotField numFmtId="164" showAll="0"/>
    <pivotField numFmtId="164" showAll="0"/>
    <pivotField showAll="0"/>
    <pivotField showAll="0"/>
    <pivotField showAll="0"/>
    <pivotField showAll="0">
      <items count="22">
        <item x="6"/>
        <item x="5"/>
        <item x="20"/>
        <item x="12"/>
        <item x="8"/>
        <item x="19"/>
        <item x="10"/>
        <item x="18"/>
        <item x="3"/>
        <item x="17"/>
        <item x="13"/>
        <item x="15"/>
        <item x="14"/>
        <item x="11"/>
        <item x="7"/>
        <item x="2"/>
        <item x="16"/>
        <item x="0"/>
        <item x="9"/>
        <item x="1"/>
        <item x="4"/>
        <item t="default"/>
      </items>
    </pivotField>
    <pivotField showAll="0"/>
    <pivotField axis="axisRow" showAll="0">
      <items count="5">
        <item x="0"/>
        <item x="1"/>
        <item x="2"/>
        <item x="3"/>
        <item t="default"/>
      </items>
    </pivotField>
    <pivotField showAll="0"/>
    <pivotField showAll="0"/>
    <pivotField showAll="0"/>
    <pivotField numFmtId="164" showAll="0"/>
    <pivotField showAll="0"/>
    <pivotField showAll="0"/>
    <pivotField showAll="0"/>
    <pivotField showAll="0"/>
    <pivotField showAll="0" defaultSubtotal="0">
      <items count="2">
        <item x="0"/>
        <item x="1"/>
      </items>
    </pivotField>
    <pivotField showAll="0" defaultSubtotal="0">
      <items count="2">
        <item x="0"/>
        <item x="1"/>
      </items>
    </pivotField>
    <pivotField showAll="0" defaultSubtotal="0">
      <items count="2">
        <item x="0"/>
        <item x="1"/>
      </items>
    </pivotField>
  </pivotFields>
  <rowFields count="1">
    <field x="19"/>
  </rowFields>
  <rowItems count="5">
    <i>
      <x/>
    </i>
    <i>
      <x v="1"/>
    </i>
    <i>
      <x v="2"/>
    </i>
    <i>
      <x v="3"/>
    </i>
    <i t="grand">
      <x/>
    </i>
  </rowItems>
  <colItems count="1">
    <i/>
  </colItems>
  <dataFields count="1">
    <dataField name="Count of Employee_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02718D9-55A2-4F8B-9D0A-832B94AE324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24:H30" firstHeaderRow="1" firstDataRow="1" firstDataCol="1"/>
  <pivotFields count="31">
    <pivotField dataField="1" showAll="0">
      <items count="3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182"/>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14"/>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t="default"/>
      </items>
    </pivotField>
    <pivotField showAll="0"/>
    <pivotField showAll="0"/>
    <pivotField axis="axisRow" showAll="0" sumSubtotal="1">
      <items count="33">
        <item x="10"/>
        <item h="1" x="22"/>
        <item h="1" x="11"/>
        <item h="1" x="17"/>
        <item h="1" x="13"/>
        <item h="1" x="31"/>
        <item h="1" x="5"/>
        <item h="1" x="30"/>
        <item h="1" x="28"/>
        <item h="1" x="6"/>
        <item h="1" x="14"/>
        <item x="21"/>
        <item h="1" x="7"/>
        <item x="20"/>
        <item h="1" x="29"/>
        <item h="1" x="26"/>
        <item h="1" x="18"/>
        <item h="1" x="4"/>
        <item h="1" x="19"/>
        <item h="1" x="23"/>
        <item h="1" x="27"/>
        <item h="1" x="9"/>
        <item h="1" x="0"/>
        <item h="1" x="2"/>
        <item x="16"/>
        <item h="1" x="24"/>
        <item h="1" x="25"/>
        <item h="1" x="3"/>
        <item h="1" x="12"/>
        <item h="1" x="8"/>
        <item h="1" x="1"/>
        <item h="1" x="15"/>
        <item t="sum"/>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numFmtId="164" showAll="0"/>
    <pivotField showAll="0"/>
    <pivotField showAll="0"/>
    <pivotField showAll="0"/>
    <pivotField showAll="0"/>
    <pivotField showAll="0"/>
    <pivotField numFmtId="164" showAll="0"/>
    <pivotField numFmtId="164" showAll="0"/>
    <pivotField showAll="0"/>
    <pivotField showAll="0"/>
    <pivotField showAll="0"/>
    <pivotField showAll="0">
      <items count="22">
        <item x="6"/>
        <item x="5"/>
        <item x="20"/>
        <item x="12"/>
        <item x="8"/>
        <item x="19"/>
        <item x="10"/>
        <item x="18"/>
        <item x="3"/>
        <item x="17"/>
        <item x="13"/>
        <item x="15"/>
        <item x="14"/>
        <item x="11"/>
        <item x="7"/>
        <item x="2"/>
        <item x="16"/>
        <item x="0"/>
        <item x="9"/>
        <item x="1"/>
        <item x="4"/>
        <item t="default"/>
      </items>
    </pivotField>
    <pivotField showAll="0"/>
    <pivotField showAll="0"/>
    <pivotField showAll="0"/>
    <pivotField showAll="0"/>
    <pivotField showAll="0"/>
    <pivotField numFmtId="164" showAll="0"/>
    <pivotField showAll="0"/>
    <pivotField showAll="0"/>
    <pivotField showAll="0"/>
    <pivotField showAll="0"/>
    <pivotField showAll="0" defaultSubtotal="0">
      <items count="2">
        <item x="0"/>
        <item x="1"/>
      </items>
    </pivotField>
    <pivotField showAll="0" defaultSubtotal="0">
      <items count="2">
        <item x="0"/>
        <item x="1"/>
      </items>
    </pivotField>
    <pivotField axis="axisRow" showAll="0">
      <items count="3">
        <item n="lowest count" x="0"/>
        <item n="higest count" sd="0" x="1"/>
        <item t="default"/>
      </items>
    </pivotField>
  </pivotFields>
  <rowFields count="2">
    <field x="30"/>
    <field x="3"/>
  </rowFields>
  <rowItems count="6">
    <i>
      <x/>
    </i>
    <i r="1">
      <x/>
    </i>
    <i r="1">
      <x v="11"/>
    </i>
    <i r="1">
      <x v="13"/>
    </i>
    <i r="1">
      <x v="24"/>
    </i>
    <i t="grand">
      <x/>
    </i>
  </rowItems>
  <colItems count="1">
    <i/>
  </colItems>
  <dataFields count="1">
    <dataField name="Count of Employee_Name"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3" count="1" selected="0">
            <x v="14"/>
          </reference>
          <reference field="30" count="1" selected="0">
            <x v="0"/>
          </reference>
        </references>
      </pivotArea>
    </chartFormat>
    <chartFormat chart="0" format="2">
      <pivotArea type="data" outline="0" fieldPosition="0">
        <references count="3">
          <reference field="4294967294" count="1" selected="0">
            <x v="0"/>
          </reference>
          <reference field="3" count="1" selected="0">
            <x v="15"/>
          </reference>
          <reference field="30" count="1" selected="0">
            <x v="0"/>
          </reference>
        </references>
      </pivotArea>
    </chartFormat>
    <chartFormat chart="0" format="3">
      <pivotArea type="data" outline="0" fieldPosition="0">
        <references count="3">
          <reference field="4294967294" count="1" selected="0">
            <x v="0"/>
          </reference>
          <reference field="3" count="1" selected="0">
            <x v="16"/>
          </reference>
          <reference field="30" count="1" selected="0">
            <x v="0"/>
          </reference>
        </references>
      </pivotArea>
    </chartFormat>
    <chartFormat chart="0" format="4">
      <pivotArea type="data" outline="0" fieldPosition="0">
        <references count="2">
          <reference field="4294967294" count="1" selected="0">
            <x v="0"/>
          </reference>
          <reference field="30" count="1" selected="0">
            <x v="1"/>
          </reference>
        </references>
      </pivotArea>
    </chartFormat>
    <chartFormat chart="0" format="5">
      <pivotArea type="data" outline="0" fieldPosition="0">
        <references count="3">
          <reference field="4294967294" count="1" selected="0">
            <x v="0"/>
          </reference>
          <reference field="3" count="1" selected="0">
            <x v="0"/>
          </reference>
          <reference field="30" count="1" selected="0">
            <x v="0"/>
          </reference>
        </references>
      </pivotArea>
    </chartFormat>
    <chartFormat chart="0" format="6">
      <pivotArea type="data" outline="0" fieldPosition="0">
        <references count="3">
          <reference field="4294967294" count="1" selected="0">
            <x v="0"/>
          </reference>
          <reference field="3" count="1" selected="0">
            <x v="11"/>
          </reference>
          <reference field="30" count="1" selected="0">
            <x v="0"/>
          </reference>
        </references>
      </pivotArea>
    </chartFormat>
    <chartFormat chart="0" format="7">
      <pivotArea type="data" outline="0" fieldPosition="0">
        <references count="3">
          <reference field="4294967294" count="1" selected="0">
            <x v="0"/>
          </reference>
          <reference field="3" count="1" selected="0">
            <x v="13"/>
          </reference>
          <reference field="30" count="1" selected="0">
            <x v="0"/>
          </reference>
        </references>
      </pivotArea>
    </chartFormat>
    <chartFormat chart="0" format="8">
      <pivotArea type="data" outline="0" fieldPosition="0">
        <references count="3">
          <reference field="4294967294" count="1" selected="0">
            <x v="0"/>
          </reference>
          <reference field="3" count="1" selected="0">
            <x v="24"/>
          </reference>
          <reference field="30" count="1" selected="0">
            <x v="0"/>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3595C0A-6C6E-4715-A61C-AD3D5B89773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4:B31" firstHeaderRow="1" firstDataRow="1" firstDataCol="1"/>
  <pivotFields count="31">
    <pivotField dataField="1" showAll="0">
      <items count="3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182"/>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14"/>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t="default"/>
      </items>
    </pivotField>
    <pivotField showAll="0"/>
    <pivotField showAll="0"/>
    <pivotField showAll="0">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numFmtId="164" showAll="0"/>
    <pivotField showAll="0"/>
    <pivotField showAll="0"/>
    <pivotField showAll="0"/>
    <pivotField showAll="0"/>
    <pivotField showAll="0"/>
    <pivotField numFmtId="164" showAll="0"/>
    <pivotField numFmtId="164" showAll="0"/>
    <pivotField showAll="0"/>
    <pivotField showAll="0"/>
    <pivotField axis="axisRow" showAll="0">
      <items count="7">
        <item x="3"/>
        <item x="5"/>
        <item x="1"/>
        <item x="0"/>
        <item x="4"/>
        <item x="2"/>
        <item t="default"/>
      </items>
    </pivotField>
    <pivotField showAll="0">
      <items count="22">
        <item x="6"/>
        <item x="5"/>
        <item x="20"/>
        <item x="12"/>
        <item x="8"/>
        <item x="19"/>
        <item x="10"/>
        <item x="18"/>
        <item x="3"/>
        <item x="17"/>
        <item x="13"/>
        <item x="15"/>
        <item x="14"/>
        <item x="11"/>
        <item x="7"/>
        <item x="2"/>
        <item x="16"/>
        <item x="0"/>
        <item x="9"/>
        <item x="1"/>
        <item x="4"/>
        <item t="default"/>
      </items>
    </pivotField>
    <pivotField showAll="0"/>
    <pivotField showAll="0"/>
    <pivotField showAll="0"/>
    <pivotField showAll="0"/>
    <pivotField showAll="0"/>
    <pivotField numFmtId="164" showAll="0"/>
    <pivotField showAll="0"/>
    <pivotField showAll="0"/>
    <pivotField showAll="0"/>
    <pivotField showAll="0"/>
    <pivotField showAll="0" defaultSubtotal="0">
      <items count="2">
        <item x="0"/>
        <item x="1"/>
      </items>
    </pivotField>
    <pivotField showAll="0" defaultSubtotal="0">
      <items count="2">
        <item x="0"/>
        <item x="1"/>
      </items>
    </pivotField>
    <pivotField showAll="0">
      <items count="3">
        <item x="0"/>
        <item x="1"/>
        <item t="default"/>
      </items>
    </pivotField>
  </pivotFields>
  <rowFields count="1">
    <field x="16"/>
  </rowFields>
  <rowItems count="7">
    <i>
      <x/>
    </i>
    <i>
      <x v="1"/>
    </i>
    <i>
      <x v="2"/>
    </i>
    <i>
      <x v="3"/>
    </i>
    <i>
      <x v="4"/>
    </i>
    <i>
      <x v="5"/>
    </i>
    <i t="grand">
      <x/>
    </i>
  </rowItems>
  <colItems count="1">
    <i/>
  </colItems>
  <dataFields count="1">
    <dataField name="Count of Employee_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C7862EF-A9CA-4657-A196-13C8BE9F14A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1:B75" firstHeaderRow="1" firstDataRow="1" firstDataCol="1"/>
  <pivotFields count="31">
    <pivotField dataField="1" showAll="0">
      <items count="3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182"/>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14"/>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t="default"/>
      </items>
    </pivotField>
    <pivotField showAll="0"/>
    <pivotField showAll="0"/>
    <pivotField showAll="0">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numFmtId="164" showAll="0"/>
    <pivotField showAll="0"/>
    <pivotField showAll="0"/>
    <pivotField showAll="0"/>
    <pivotField showAll="0"/>
    <pivotField showAll="0"/>
    <pivotField numFmtId="164" showAll="0"/>
    <pivotField numFmtId="164" showAll="0"/>
    <pivotField showAll="0"/>
    <pivotField showAll="0"/>
    <pivotField showAll="0"/>
    <pivotField showAll="0">
      <items count="22">
        <item x="6"/>
        <item x="5"/>
        <item x="20"/>
        <item x="12"/>
        <item x="8"/>
        <item x="19"/>
        <item x="10"/>
        <item x="18"/>
        <item x="3"/>
        <item x="17"/>
        <item x="13"/>
        <item x="15"/>
        <item x="14"/>
        <item x="11"/>
        <item x="7"/>
        <item x="2"/>
        <item x="16"/>
        <item x="0"/>
        <item x="9"/>
        <item x="1"/>
        <item x="4"/>
        <item t="default"/>
      </items>
    </pivotField>
    <pivotField axis="axisRow" showAll="0" measureFilter="1">
      <items count="10">
        <item x="6"/>
        <item x="4"/>
        <item x="3"/>
        <item x="2"/>
        <item x="1"/>
        <item x="0"/>
        <item x="5"/>
        <item x="8"/>
        <item x="7"/>
        <item t="default"/>
      </items>
    </pivotField>
    <pivotField showAll="0"/>
    <pivotField showAll="0"/>
    <pivotField showAll="0"/>
    <pivotField showAll="0"/>
    <pivotField numFmtId="164" showAll="0"/>
    <pivotField showAll="0"/>
    <pivotField showAll="0"/>
    <pivotField showAll="0"/>
    <pivotField showAll="0"/>
    <pivotField showAll="0" defaultSubtotal="0">
      <items count="2">
        <item x="0"/>
        <item x="1"/>
      </items>
    </pivotField>
    <pivotField showAll="0" defaultSubtotal="0">
      <items count="2">
        <item x="0"/>
        <item x="1"/>
      </items>
    </pivotField>
    <pivotField showAll="0" defaultSubtotal="0">
      <items count="2">
        <item x="0"/>
        <item x="1"/>
      </items>
    </pivotField>
  </pivotFields>
  <rowFields count="1">
    <field x="18"/>
  </rowFields>
  <rowItems count="4">
    <i>
      <x v="3"/>
    </i>
    <i>
      <x v="4"/>
    </i>
    <i>
      <x v="5"/>
    </i>
    <i t="grand">
      <x/>
    </i>
  </rowItems>
  <colItems count="1">
    <i/>
  </colItems>
  <dataFields count="1">
    <dataField name="Count of Employee_Name"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B5144BE-328E-42AE-9031-5BF106C057F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93:H100" firstHeaderRow="1" firstDataRow="1" firstDataCol="1"/>
  <pivotFields count="31">
    <pivotField showAll="0"/>
    <pivotField showAll="0"/>
    <pivotField showAll="0"/>
    <pivotField showAll="0">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numFmtId="164" showAll="0"/>
    <pivotField showAll="0"/>
    <pivotField showAll="0"/>
    <pivotField showAll="0"/>
    <pivotField showAll="0"/>
    <pivotField showAll="0"/>
    <pivotField numFmtId="164" showAll="0"/>
    <pivotField numFmtId="164" showAll="0"/>
    <pivotField showAll="0"/>
    <pivotField showAll="0"/>
    <pivotField axis="axisRow" showAll="0">
      <items count="7">
        <item x="3"/>
        <item x="5"/>
        <item x="1"/>
        <item x="0"/>
        <item x="4"/>
        <item x="2"/>
        <item t="default"/>
      </items>
    </pivotField>
    <pivotField showAll="0">
      <items count="22">
        <item x="6"/>
        <item x="5"/>
        <item x="20"/>
        <item x="12"/>
        <item x="8"/>
        <item x="19"/>
        <item x="10"/>
        <item x="18"/>
        <item x="3"/>
        <item x="17"/>
        <item x="13"/>
        <item x="15"/>
        <item x="14"/>
        <item x="11"/>
        <item x="7"/>
        <item x="2"/>
        <item x="16"/>
        <item x="0"/>
        <item x="9"/>
        <item x="1"/>
        <item x="4"/>
        <item t="default"/>
      </items>
    </pivotField>
    <pivotField showAll="0"/>
    <pivotField showAll="0"/>
    <pivotField showAll="0"/>
    <pivotField dataField="1" showAll="0">
      <items count="6">
        <item x="4"/>
        <item x="3"/>
        <item x="1"/>
        <item x="2"/>
        <item x="0"/>
        <item t="default"/>
      </items>
    </pivotField>
    <pivotField showAll="0"/>
    <pivotField numFmtId="164" showAll="0"/>
    <pivotField showAll="0"/>
    <pivotField showAll="0"/>
    <pivotField showAll="0"/>
    <pivotField showAll="0"/>
    <pivotField showAll="0" defaultSubtotal="0">
      <items count="2">
        <item x="0"/>
        <item x="1"/>
      </items>
    </pivotField>
    <pivotField showAll="0" defaultSubtotal="0">
      <items count="2">
        <item x="0"/>
        <item x="1"/>
      </items>
    </pivotField>
    <pivotField showAll="0" defaultSubtotal="0">
      <items count="2">
        <item x="0"/>
        <item x="1"/>
      </items>
    </pivotField>
  </pivotFields>
  <rowFields count="1">
    <field x="16"/>
  </rowFields>
  <rowItems count="7">
    <i>
      <x/>
    </i>
    <i>
      <x v="1"/>
    </i>
    <i>
      <x v="2"/>
    </i>
    <i>
      <x v="3"/>
    </i>
    <i>
      <x v="4"/>
    </i>
    <i>
      <x v="5"/>
    </i>
    <i t="grand">
      <x/>
    </i>
  </rowItems>
  <colItems count="1">
    <i/>
  </colItems>
  <dataFields count="1">
    <dataField name="Average of EmpSatisfaction" fld="21" subtotal="average" baseField="16"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4">
      <pivotArea type="data" outline="0" fieldPosition="0">
        <references count="2">
          <reference field="4294967294" count="1" selected="0">
            <x v="0"/>
          </reference>
          <reference field="16" count="1" selected="0">
            <x v="3"/>
          </reference>
        </references>
      </pivotArea>
    </chartFormat>
    <chartFormat chart="0" format="5">
      <pivotArea type="data" outline="0" fieldPosition="0">
        <references count="2">
          <reference field="4294967294" count="1" selected="0">
            <x v="0"/>
          </reference>
          <reference field="16" count="1" selected="0">
            <x v="4"/>
          </reference>
        </references>
      </pivotArea>
    </chartFormat>
    <chartFormat chart="0" format="6">
      <pivotArea type="data" outline="0" fieldPosition="0">
        <references count="2">
          <reference field="4294967294" count="1" selected="0">
            <x v="0"/>
          </reference>
          <reference field="16" count="1" selected="0">
            <x v="5"/>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16" count="1" selected="0">
            <x v="0"/>
          </reference>
        </references>
      </pivotArea>
    </chartFormat>
    <chartFormat chart="4" format="16">
      <pivotArea type="data" outline="0" fieldPosition="0">
        <references count="2">
          <reference field="4294967294" count="1" selected="0">
            <x v="0"/>
          </reference>
          <reference field="16" count="1" selected="0">
            <x v="1"/>
          </reference>
        </references>
      </pivotArea>
    </chartFormat>
    <chartFormat chart="4" format="17">
      <pivotArea type="data" outline="0" fieldPosition="0">
        <references count="2">
          <reference field="4294967294" count="1" selected="0">
            <x v="0"/>
          </reference>
          <reference field="16" count="1" selected="0">
            <x v="2"/>
          </reference>
        </references>
      </pivotArea>
    </chartFormat>
    <chartFormat chart="4" format="18">
      <pivotArea type="data" outline="0" fieldPosition="0">
        <references count="2">
          <reference field="4294967294" count="1" selected="0">
            <x v="0"/>
          </reference>
          <reference field="16" count="1" selected="0">
            <x v="3"/>
          </reference>
        </references>
      </pivotArea>
    </chartFormat>
    <chartFormat chart="4" format="19">
      <pivotArea type="data" outline="0" fieldPosition="0">
        <references count="2">
          <reference field="4294967294" count="1" selected="0">
            <x v="0"/>
          </reference>
          <reference field="16" count="1" selected="0">
            <x v="4"/>
          </reference>
        </references>
      </pivotArea>
    </chartFormat>
    <chartFormat chart="4" format="20">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0FD60F8-E03B-43FD-87D9-AF32EE21947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4:B51" firstHeaderRow="1" firstDataRow="1" firstDataCol="1"/>
  <pivotFields count="31">
    <pivotField dataField="1" showAll="0">
      <items count="3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182"/>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14"/>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t="default"/>
      </items>
    </pivotField>
    <pivotField showAll="0"/>
    <pivotField showAll="0"/>
    <pivotField showAll="0">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numFmtId="164" showAll="0"/>
    <pivotField showAll="0"/>
    <pivotField showAll="0"/>
    <pivotField showAll="0"/>
    <pivotField showAll="0"/>
    <pivotField showAll="0"/>
    <pivotField numFmtId="164" showAll="0"/>
    <pivotField numFmtId="164" showAll="0"/>
    <pivotField showAll="0"/>
    <pivotField showAll="0"/>
    <pivotField axis="axisRow" showAll="0">
      <items count="7">
        <item x="3"/>
        <item x="5"/>
        <item x="1"/>
        <item x="0"/>
        <item x="4"/>
        <item x="2"/>
        <item t="default"/>
      </items>
    </pivotField>
    <pivotField showAll="0">
      <items count="22">
        <item x="6"/>
        <item x="5"/>
        <item x="20"/>
        <item x="12"/>
        <item x="8"/>
        <item x="19"/>
        <item x="10"/>
        <item x="18"/>
        <item x="3"/>
        <item x="17"/>
        <item x="13"/>
        <item x="15"/>
        <item x="14"/>
        <item x="11"/>
        <item x="7"/>
        <item x="2"/>
        <item x="16"/>
        <item x="0"/>
        <item x="9"/>
        <item x="1"/>
        <item x="4"/>
        <item t="default"/>
      </items>
    </pivotField>
    <pivotField showAll="0"/>
    <pivotField showAll="0"/>
    <pivotField showAll="0"/>
    <pivotField showAll="0"/>
    <pivotField showAll="0"/>
    <pivotField numFmtId="164" showAll="0"/>
    <pivotField showAll="0"/>
    <pivotField showAll="0"/>
    <pivotField showAll="0"/>
    <pivotField showAll="0"/>
    <pivotField showAll="0" defaultSubtotal="0">
      <items count="2">
        <item x="0"/>
        <item x="1"/>
      </items>
    </pivotField>
    <pivotField showAll="0" defaultSubtotal="0">
      <items count="2">
        <item x="0"/>
        <item x="1"/>
      </items>
    </pivotField>
    <pivotField showAll="0" defaultSubtotal="0">
      <items count="2">
        <item x="0"/>
        <item x="1"/>
      </items>
    </pivotField>
  </pivotFields>
  <rowFields count="1">
    <field x="16"/>
  </rowFields>
  <rowItems count="7">
    <i>
      <x/>
    </i>
    <i>
      <x v="1"/>
    </i>
    <i>
      <x v="2"/>
    </i>
    <i>
      <x v="3"/>
    </i>
    <i>
      <x v="4"/>
    </i>
    <i>
      <x v="5"/>
    </i>
    <i t="grand">
      <x/>
    </i>
  </rowItems>
  <colItems count="1">
    <i/>
  </colItems>
  <dataFields count="1">
    <dataField name="Count of Employee_Name" fld="0"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5"/>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0"/>
          </reference>
        </references>
      </pivotArea>
    </chartFormat>
    <chartFormat chart="0" format="4">
      <pivotArea type="data" outline="0" fieldPosition="0">
        <references count="2">
          <reference field="4294967294" count="1" selected="0">
            <x v="0"/>
          </reference>
          <reference field="16" count="1" selected="0">
            <x v="4"/>
          </reference>
        </references>
      </pivotArea>
    </chartFormat>
    <chartFormat chart="0" format="5">
      <pivotArea type="data" outline="0" fieldPosition="0">
        <references count="2">
          <reference field="4294967294" count="1" selected="0">
            <x v="0"/>
          </reference>
          <reference field="16" count="1" selected="0">
            <x v="2"/>
          </reference>
        </references>
      </pivotArea>
    </chartFormat>
    <chartFormat chart="0" format="6">
      <pivotArea type="data" outline="0" fieldPosition="0">
        <references count="2">
          <reference field="4294967294" count="1" selected="0">
            <x v="0"/>
          </reference>
          <reference field="16" count="1" selected="0">
            <x v="3"/>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16" count="1" selected="0">
            <x v="0"/>
          </reference>
        </references>
      </pivotArea>
    </chartFormat>
    <chartFormat chart="4" format="16">
      <pivotArea type="data" outline="0" fieldPosition="0">
        <references count="2">
          <reference field="4294967294" count="1" selected="0">
            <x v="0"/>
          </reference>
          <reference field="16" count="1" selected="0">
            <x v="1"/>
          </reference>
        </references>
      </pivotArea>
    </chartFormat>
    <chartFormat chart="4" format="17">
      <pivotArea type="data" outline="0" fieldPosition="0">
        <references count="2">
          <reference field="4294967294" count="1" selected="0">
            <x v="0"/>
          </reference>
          <reference field="16" count="1" selected="0">
            <x v="2"/>
          </reference>
        </references>
      </pivotArea>
    </chartFormat>
    <chartFormat chart="4" format="18">
      <pivotArea type="data" outline="0" fieldPosition="0">
        <references count="2">
          <reference field="4294967294" count="1" selected="0">
            <x v="0"/>
          </reference>
          <reference field="16" count="1" selected="0">
            <x v="3"/>
          </reference>
        </references>
      </pivotArea>
    </chartFormat>
    <chartFormat chart="4" format="19">
      <pivotArea type="data" outline="0" fieldPosition="0">
        <references count="2">
          <reference field="4294967294" count="1" selected="0">
            <x v="0"/>
          </reference>
          <reference field="16" count="1" selected="0">
            <x v="4"/>
          </reference>
        </references>
      </pivotArea>
    </chartFormat>
    <chartFormat chart="4" format="20">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55391B0-6103-4F24-BAFB-C53AA1F2F69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15:B125" firstHeaderRow="1" firstDataRow="1" firstDataCol="1"/>
  <pivotFields count="31">
    <pivotField dataField="1" showAll="0">
      <items count="3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182"/>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14"/>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t="default"/>
      </items>
    </pivotField>
    <pivotField showAll="0"/>
    <pivotField showAll="0"/>
    <pivotField showAll="0">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numFmtId="164" showAll="0"/>
    <pivotField showAll="0"/>
    <pivotField showAll="0"/>
    <pivotField showAll="0"/>
    <pivotField showAll="0"/>
    <pivotField showAll="0"/>
    <pivotField numFmtId="164" showAll="0"/>
    <pivotField numFmtId="164" showAll="0"/>
    <pivotField showAll="0"/>
    <pivotField showAll="0"/>
    <pivotField showAll="0"/>
    <pivotField showAll="0">
      <items count="22">
        <item x="6"/>
        <item x="5"/>
        <item x="20"/>
        <item x="12"/>
        <item x="8"/>
        <item x="19"/>
        <item x="10"/>
        <item x="18"/>
        <item x="3"/>
        <item x="17"/>
        <item x="13"/>
        <item x="15"/>
        <item x="14"/>
        <item x="11"/>
        <item x="7"/>
        <item x="2"/>
        <item x="16"/>
        <item x="0"/>
        <item x="9"/>
        <item x="1"/>
        <item x="4"/>
        <item t="default"/>
      </items>
    </pivotField>
    <pivotField showAll="0"/>
    <pivotField showAll="0"/>
    <pivotField showAll="0"/>
    <pivotField showAll="0"/>
    <pivotField axis="axisRow" showAll="0">
      <items count="10">
        <item x="0"/>
        <item x="8"/>
        <item x="7"/>
        <item x="5"/>
        <item x="2"/>
        <item x="3"/>
        <item x="1"/>
        <item x="4"/>
        <item x="6"/>
        <item t="default"/>
      </items>
    </pivotField>
    <pivotField numFmtId="164" showAll="0"/>
    <pivotField showAll="0"/>
    <pivotField showAll="0"/>
    <pivotField showAll="0"/>
    <pivotField showAll="0"/>
    <pivotField showAll="0" defaultSubtotal="0">
      <items count="2">
        <item x="0"/>
        <item x="1"/>
      </items>
    </pivotField>
    <pivotField showAll="0" defaultSubtotal="0">
      <items count="2">
        <item x="0"/>
        <item x="1"/>
      </items>
    </pivotField>
    <pivotField showAll="0" defaultSubtotal="0">
      <items count="2">
        <item x="0"/>
        <item x="1"/>
      </items>
    </pivotField>
  </pivotFields>
  <rowFields count="1">
    <field x="22"/>
  </rowFields>
  <rowItems count="10">
    <i>
      <x/>
    </i>
    <i>
      <x v="1"/>
    </i>
    <i>
      <x v="2"/>
    </i>
    <i>
      <x v="3"/>
    </i>
    <i>
      <x v="4"/>
    </i>
    <i>
      <x v="5"/>
    </i>
    <i>
      <x v="6"/>
    </i>
    <i>
      <x v="7"/>
    </i>
    <i>
      <x v="8"/>
    </i>
    <i t="grand">
      <x/>
    </i>
  </rowItems>
  <colItems count="1">
    <i/>
  </colItems>
  <dataFields count="1">
    <dataField name="Count of Employee_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14F8507-5FFA-43A1-A3AC-9303506D509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93:B100" firstHeaderRow="1" firstDataRow="1" firstDataCol="1"/>
  <pivotFields count="31">
    <pivotField showAll="0"/>
    <pivotField showAll="0"/>
    <pivotField showAll="0"/>
    <pivotField showAll="0">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numFmtId="164" showAll="0"/>
    <pivotField showAll="0"/>
    <pivotField showAll="0"/>
    <pivotField showAll="0"/>
    <pivotField showAll="0"/>
    <pivotField showAll="0"/>
    <pivotField numFmtId="164" showAll="0"/>
    <pivotField numFmtId="164" showAll="0"/>
    <pivotField showAll="0"/>
    <pivotField showAll="0"/>
    <pivotField axis="axisRow" showAll="0">
      <items count="7">
        <item x="3"/>
        <item x="5"/>
        <item x="1"/>
        <item x="0"/>
        <item x="4"/>
        <item x="2"/>
        <item t="default"/>
      </items>
    </pivotField>
    <pivotField showAll="0">
      <items count="22">
        <item x="6"/>
        <item x="5"/>
        <item x="20"/>
        <item x="12"/>
        <item x="8"/>
        <item x="19"/>
        <item x="10"/>
        <item x="18"/>
        <item x="3"/>
        <item x="17"/>
        <item x="13"/>
        <item x="15"/>
        <item x="14"/>
        <item x="11"/>
        <item x="7"/>
        <item x="2"/>
        <item x="16"/>
        <item x="0"/>
        <item x="9"/>
        <item x="1"/>
        <item x="4"/>
        <item t="default"/>
      </items>
    </pivotField>
    <pivotField showAll="0"/>
    <pivotField showAll="0"/>
    <pivotField dataField="1" showAll="0"/>
    <pivotField showAll="0"/>
    <pivotField showAll="0"/>
    <pivotField numFmtId="164" showAll="0"/>
    <pivotField showAll="0"/>
    <pivotField showAll="0"/>
    <pivotField showAll="0"/>
    <pivotField showAll="0"/>
    <pivotField showAll="0" defaultSubtotal="0">
      <items count="2">
        <item x="0"/>
        <item x="1"/>
      </items>
    </pivotField>
    <pivotField showAll="0" defaultSubtotal="0">
      <items count="2">
        <item x="0"/>
        <item x="1"/>
      </items>
    </pivotField>
    <pivotField showAll="0" defaultSubtotal="0">
      <items count="2">
        <item x="0"/>
        <item x="1"/>
      </items>
    </pivotField>
  </pivotFields>
  <rowFields count="1">
    <field x="16"/>
  </rowFields>
  <rowItems count="7">
    <i>
      <x/>
    </i>
    <i>
      <x v="1"/>
    </i>
    <i>
      <x v="2"/>
    </i>
    <i>
      <x v="3"/>
    </i>
    <i>
      <x v="4"/>
    </i>
    <i>
      <x v="5"/>
    </i>
    <i t="grand">
      <x/>
    </i>
  </rowItems>
  <colItems count="1">
    <i/>
  </colItems>
  <dataFields count="1">
    <dataField name="Average of EngagementSurvey" fld="20" subtotal="average" baseField="16"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4">
      <pivotArea type="data" outline="0" fieldPosition="0">
        <references count="2">
          <reference field="4294967294" count="1" selected="0">
            <x v="0"/>
          </reference>
          <reference field="16" count="1" selected="0">
            <x v="3"/>
          </reference>
        </references>
      </pivotArea>
    </chartFormat>
    <chartFormat chart="0" format="5">
      <pivotArea type="data" outline="0" fieldPosition="0">
        <references count="2">
          <reference field="4294967294" count="1" selected="0">
            <x v="0"/>
          </reference>
          <reference field="16" count="1" selected="0">
            <x v="4"/>
          </reference>
        </references>
      </pivotArea>
    </chartFormat>
    <chartFormat chart="0" format="6">
      <pivotArea type="data" outline="0" fieldPosition="0">
        <references count="2">
          <reference field="4294967294" count="1" selected="0">
            <x v="0"/>
          </reference>
          <reference field="16" count="1" selected="0">
            <x v="5"/>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4F2E6D64-C47F-41A4-915A-3108FD713AD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44:H54" firstHeaderRow="1" firstDataRow="1" firstDataCol="1"/>
  <pivotFields count="31">
    <pivotField dataField="1" showAll="0">
      <items count="3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182"/>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14"/>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t="default"/>
      </items>
    </pivotField>
    <pivotField showAll="0"/>
    <pivotField showAll="0"/>
    <pivotField showAll="0">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numFmtId="164" showAll="0"/>
    <pivotField showAll="0"/>
    <pivotField showAll="0"/>
    <pivotField showAll="0"/>
    <pivotField showAll="0"/>
    <pivotField showAll="0"/>
    <pivotField numFmtId="164" showAll="0"/>
    <pivotField numFmtId="164" showAll="0"/>
    <pivotField showAll="0"/>
    <pivotField showAll="0"/>
    <pivotField showAll="0"/>
    <pivotField showAll="0">
      <items count="22">
        <item x="6"/>
        <item x="5"/>
        <item x="20"/>
        <item x="12"/>
        <item x="8"/>
        <item x="19"/>
        <item x="10"/>
        <item x="18"/>
        <item x="3"/>
        <item x="17"/>
        <item x="13"/>
        <item x="15"/>
        <item x="14"/>
        <item x="11"/>
        <item x="7"/>
        <item x="2"/>
        <item x="16"/>
        <item x="0"/>
        <item x="9"/>
        <item x="1"/>
        <item x="4"/>
        <item t="default"/>
      </items>
    </pivotField>
    <pivotField axis="axisRow" showAll="0">
      <items count="10">
        <item x="6"/>
        <item x="4"/>
        <item x="3"/>
        <item x="2"/>
        <item x="1"/>
        <item x="0"/>
        <item x="5"/>
        <item x="8"/>
        <item x="7"/>
        <item t="default"/>
      </items>
    </pivotField>
    <pivotField showAll="0"/>
    <pivotField showAll="0"/>
    <pivotField showAll="0"/>
    <pivotField showAll="0"/>
    <pivotField numFmtId="164" showAll="0"/>
    <pivotField showAll="0"/>
    <pivotField showAll="0"/>
    <pivotField showAll="0"/>
    <pivotField showAll="0"/>
    <pivotField showAll="0" defaultSubtotal="0">
      <items count="2">
        <item x="0"/>
        <item x="1"/>
      </items>
    </pivotField>
    <pivotField showAll="0" defaultSubtotal="0">
      <items count="2">
        <item x="0"/>
        <item x="1"/>
      </items>
    </pivotField>
    <pivotField showAll="0" defaultSubtotal="0">
      <items count="2">
        <item x="0"/>
        <item x="1"/>
      </items>
    </pivotField>
  </pivotFields>
  <rowFields count="1">
    <field x="18"/>
  </rowFields>
  <rowItems count="10">
    <i>
      <x/>
    </i>
    <i>
      <x v="1"/>
    </i>
    <i>
      <x v="2"/>
    </i>
    <i>
      <x v="3"/>
    </i>
    <i>
      <x v="4"/>
    </i>
    <i>
      <x v="5"/>
    </i>
    <i>
      <x v="6"/>
    </i>
    <i>
      <x v="7"/>
    </i>
    <i>
      <x v="8"/>
    </i>
    <i t="grand">
      <x/>
    </i>
  </rowItems>
  <colItems count="1">
    <i/>
  </colItems>
  <dataFields count="1">
    <dataField name="Count of Employee_Name" fld="0" subtotal="count"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E481747-1700-4ABC-BCE4-E7EB031DBF9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115:H122" firstHeaderRow="1" firstDataRow="1" firstDataCol="1"/>
  <pivotFields count="31">
    <pivotField showAll="0"/>
    <pivotField showAll="0"/>
    <pivotField showAll="0"/>
    <pivotField showAll="0">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numFmtId="164" showAll="0"/>
    <pivotField showAll="0"/>
    <pivotField showAll="0"/>
    <pivotField showAll="0"/>
    <pivotField showAll="0"/>
    <pivotField showAll="0"/>
    <pivotField numFmtId="164" showAll="0"/>
    <pivotField numFmtId="164" showAll="0"/>
    <pivotField showAll="0"/>
    <pivotField showAll="0"/>
    <pivotField axis="axisRow" showAll="0">
      <items count="7">
        <item x="3"/>
        <item x="5"/>
        <item x="1"/>
        <item x="0"/>
        <item x="4"/>
        <item x="2"/>
        <item t="default"/>
      </items>
    </pivotField>
    <pivotField showAll="0">
      <items count="22">
        <item x="6"/>
        <item x="5"/>
        <item x="20"/>
        <item x="12"/>
        <item x="8"/>
        <item x="19"/>
        <item x="10"/>
        <item x="18"/>
        <item x="3"/>
        <item x="17"/>
        <item x="13"/>
        <item x="15"/>
        <item x="14"/>
        <item x="11"/>
        <item x="7"/>
        <item x="2"/>
        <item x="16"/>
        <item x="0"/>
        <item x="9"/>
        <item x="1"/>
        <item x="4"/>
        <item t="default"/>
      </items>
    </pivotField>
    <pivotField showAll="0"/>
    <pivotField showAll="0"/>
    <pivotField showAll="0"/>
    <pivotField showAll="0"/>
    <pivotField dataField="1" showAll="0"/>
    <pivotField numFmtId="164" showAll="0"/>
    <pivotField showAll="0"/>
    <pivotField showAll="0"/>
    <pivotField showAll="0"/>
    <pivotField showAll="0"/>
    <pivotField showAll="0" defaultSubtotal="0">
      <items count="2">
        <item x="0"/>
        <item x="1"/>
      </items>
    </pivotField>
    <pivotField showAll="0" defaultSubtotal="0">
      <items count="2">
        <item x="0"/>
        <item x="1"/>
      </items>
    </pivotField>
    <pivotField showAll="0" defaultSubtotal="0">
      <items count="2">
        <item x="0"/>
        <item x="1"/>
      </items>
    </pivotField>
  </pivotFields>
  <rowFields count="1">
    <field x="16"/>
  </rowFields>
  <rowItems count="7">
    <i>
      <x/>
    </i>
    <i>
      <x v="1"/>
    </i>
    <i>
      <x v="2"/>
    </i>
    <i>
      <x v="3"/>
    </i>
    <i>
      <x v="4"/>
    </i>
    <i>
      <x v="5"/>
    </i>
    <i t="grand">
      <x/>
    </i>
  </rowItems>
  <colItems count="1">
    <i/>
  </colItems>
  <dataFields count="1">
    <dataField name="Average of SpecialProjectsCount" fld="22" subtotal="average" baseField="16" baseItem="0"/>
  </dataFields>
  <chartFormats count="9">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6" count="1" selected="0">
            <x v="0"/>
          </reference>
        </references>
      </pivotArea>
    </chartFormat>
    <chartFormat chart="5" format="4">
      <pivotArea type="data" outline="0" fieldPosition="0">
        <references count="2">
          <reference field="4294967294" count="1" selected="0">
            <x v="0"/>
          </reference>
          <reference field="16" count="1" selected="0">
            <x v="2"/>
          </reference>
        </references>
      </pivotArea>
    </chartFormat>
    <chartFormat chart="5" format="5">
      <pivotArea type="data" outline="0" fieldPosition="0">
        <references count="2">
          <reference field="4294967294" count="1" selected="0">
            <x v="0"/>
          </reference>
          <reference field="16" count="1" selected="0">
            <x v="1"/>
          </reference>
        </references>
      </pivotArea>
    </chartFormat>
    <chartFormat chart="5" format="6">
      <pivotArea type="data" outline="0" fieldPosition="0">
        <references count="2">
          <reference field="4294967294" count="1" selected="0">
            <x v="0"/>
          </reference>
          <reference field="16" count="1" selected="0">
            <x v="3"/>
          </reference>
        </references>
      </pivotArea>
    </chartFormat>
    <chartFormat chart="5" format="7">
      <pivotArea type="data" outline="0" fieldPosition="0">
        <references count="2">
          <reference field="4294967294" count="1" selected="0">
            <x v="0"/>
          </reference>
          <reference field="16" count="1" selected="0">
            <x v="4"/>
          </reference>
        </references>
      </pivotArea>
    </chartFormat>
    <chartFormat chart="5" format="8">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6586DA7-6780-4DCC-B374-EAABA98E042C}" sourceName="Department">
  <pivotTables>
    <pivotTable tabId="3" name="PivotTable2"/>
  </pivotTables>
  <data>
    <tabular pivotCacheId="165268280">
      <items count="6">
        <i x="3" s="1"/>
        <i x="5" s="1"/>
        <i x="1"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13B110E2-E15B-4AAC-A5FE-EE705F321A06}" sourceName="Salary">
  <pivotTables>
    <pivotTable tabId="3" name="PivotTable3"/>
  </pivotTables>
  <data>
    <tabular pivotCacheId="165268280">
      <items count="308">
        <i x="307" s="1"/>
        <i x="138" s="1"/>
        <i x="229" s="1"/>
        <i x="174" s="1"/>
        <i x="150" s="1"/>
        <i x="214" s="1"/>
        <i x="157" s="1"/>
        <i x="74" s="1"/>
        <i x="245" s="1"/>
        <i x="224" s="1"/>
        <i x="151" s="1"/>
        <i x="197" s="1"/>
        <i x="230" s="1"/>
        <i x="222" s="1"/>
        <i x="141" s="1"/>
        <i x="125" s="1"/>
        <i x="220" s="1"/>
        <i x="11" s="1"/>
        <i x="206" s="1"/>
        <i x="172" s="1"/>
        <i x="244" s="1"/>
        <i x="8" s="1"/>
        <i x="264" s="1"/>
        <i x="114" s="1"/>
        <i x="277" s="1"/>
        <i x="198" s="1"/>
        <i x="304" s="1"/>
        <i x="81" s="1"/>
        <i x="116" s="1"/>
        <i x="290" s="1"/>
        <i x="131" s="1"/>
        <i x="9" s="1"/>
        <i x="294" s="1"/>
        <i x="51" s="1"/>
        <i x="233" s="1"/>
        <i x="196" s="1"/>
        <i x="146" s="1"/>
        <i x="250" s="1"/>
        <i x="4" s="1"/>
        <i x="249" s="1"/>
        <i x="20" s="1"/>
        <i x="71" s="1"/>
        <i x="102" s="1"/>
        <i x="103" s="1"/>
        <i x="168" s="1"/>
        <i x="137" s="1"/>
        <i x="253" s="1"/>
        <i x="171" s="1"/>
        <i x="251" s="1"/>
        <i x="123" s="1"/>
        <i x="100" s="1"/>
        <i x="14" s="1"/>
        <i x="191" s="1"/>
        <i x="166" s="1"/>
        <i x="203" s="1"/>
        <i x="173" s="1"/>
        <i x="38" s="1"/>
        <i x="199" s="1"/>
        <i x="109" s="1"/>
        <i x="207" s="1"/>
        <i x="101" s="1"/>
        <i x="240" s="1"/>
        <i x="69" s="1"/>
        <i x="19" s="1"/>
        <i x="91" s="1"/>
        <i x="28" s="1"/>
        <i x="212" s="1"/>
        <i x="149" s="1"/>
        <i x="179" s="1"/>
        <i x="43" s="1"/>
        <i x="82" s="1"/>
        <i x="10" s="1"/>
        <i x="121" s="1"/>
        <i x="105" s="1"/>
        <i x="257" s="1"/>
        <i x="298" s="1"/>
        <i x="180" s="1"/>
        <i x="132" s="1"/>
        <i x="232" s="1"/>
        <i x="184" s="1"/>
        <i x="65" s="1"/>
        <i x="186" s="1"/>
        <i x="288" s="1"/>
        <i x="94" s="1"/>
        <i x="248" s="1"/>
        <i x="58" s="1"/>
        <i x="63" s="1"/>
        <i x="279" s="1"/>
        <i x="83" s="1"/>
        <i x="64" s="1"/>
        <i x="5" s="1"/>
        <i x="194" s="1"/>
        <i x="62" s="1"/>
        <i x="89" s="1"/>
        <i x="24" s="1"/>
        <i x="15" s="1"/>
        <i x="285" s="1"/>
        <i x="215" s="1"/>
        <i x="246" s="1"/>
        <i x="299" s="1"/>
        <i x="187" s="1"/>
        <i x="265" s="1"/>
        <i x="68" s="1"/>
        <i x="276" s="1"/>
        <i x="297" s="1"/>
        <i x="286" s="1"/>
        <i x="92" s="1"/>
        <i x="13" s="1"/>
        <i x="258" s="1"/>
        <i x="17" s="1"/>
        <i x="85" s="1"/>
        <i x="53" s="1"/>
        <i x="72" s="1"/>
        <i x="271" s="1"/>
        <i x="7" s="1"/>
        <i x="50" s="1"/>
        <i x="104" s="1"/>
        <i x="223" s="1"/>
        <i x="300" s="1"/>
        <i x="110" s="1"/>
        <i x="80" s="1"/>
        <i x="268" s="1"/>
        <i x="213" s="1"/>
        <i x="84" s="1"/>
        <i x="44" s="1"/>
        <i x="140" s="1"/>
        <i x="302" s="1"/>
        <i x="239" s="1"/>
        <i x="255" s="1"/>
        <i x="139" s="1"/>
        <i x="274" s="1"/>
        <i x="144" s="1"/>
        <i x="112" s="1"/>
        <i x="177" s="1"/>
        <i x="267" s="1"/>
        <i x="234" s="1"/>
        <i x="106" s="1"/>
        <i x="67" s="1"/>
        <i x="73" s="1"/>
        <i x="41" s="1"/>
        <i x="227" s="1"/>
        <i x="228" s="1"/>
        <i x="221" s="1"/>
        <i x="159" s="1"/>
        <i x="201" s="1"/>
        <i x="124" s="1"/>
        <i x="291" s="1"/>
        <i x="34" s="1"/>
        <i x="175" s="1"/>
        <i x="263" s="1"/>
        <i x="0" s="1"/>
        <i x="79" s="1"/>
        <i x="183" s="1"/>
        <i x="181" s="1"/>
        <i x="22" s="1"/>
        <i x="117" s="1"/>
        <i x="29" s="1"/>
        <i x="266" s="1"/>
        <i x="270" s="1"/>
        <i x="205" s="1"/>
        <i x="52" s="1"/>
        <i x="182" s="1"/>
        <i x="143" s="1"/>
        <i x="235" s="1"/>
        <i x="56" s="1"/>
        <i x="192" s="1"/>
        <i x="167" s="1"/>
        <i x="128" s="1"/>
        <i x="209" s="1"/>
        <i x="161" s="1"/>
        <i x="269" s="1"/>
        <i x="200" s="1"/>
        <i x="33" s="1"/>
        <i x="118" s="1"/>
        <i x="254" s="1"/>
        <i x="152" s="1"/>
        <i x="261" s="1"/>
        <i x="90" s="1"/>
        <i x="49" s="1"/>
        <i x="122" s="1"/>
        <i x="31" s="1"/>
        <i x="280" s="1"/>
        <i x="158" s="1"/>
        <i x="219" s="1"/>
        <i x="163" s="1"/>
        <i x="46" s="1"/>
        <i x="47" s="1"/>
        <i x="21" s="1"/>
        <i x="2" s="1"/>
        <i x="231" s="1"/>
        <i x="3" s="1"/>
        <i x="134" s="1"/>
        <i x="30" s="1"/>
        <i x="147" s="1"/>
        <i x="99" s="1"/>
        <i x="262" s="1"/>
        <i x="60" s="1"/>
        <i x="303" s="1"/>
        <i x="88" s="1"/>
        <i x="156" s="1"/>
        <i x="115" s="1"/>
        <i x="23" s="1"/>
        <i x="292" s="1"/>
        <i x="259" s="1"/>
        <i x="202" s="1"/>
        <i x="45" s="1"/>
        <i x="113" s="1"/>
        <i x="278" s="1"/>
        <i x="169" s="1"/>
        <i x="98" s="1"/>
        <i x="54" s="1"/>
        <i x="126" s="1"/>
        <i x="135" s="1"/>
        <i x="176" s="1"/>
        <i x="48" s="1"/>
        <i x="208" s="1"/>
        <i x="111" s="1"/>
        <i x="145" s="1"/>
        <i x="133" s="1"/>
        <i x="16" s="1"/>
        <i x="95" s="1"/>
        <i x="164" s="1"/>
        <i x="301" s="1"/>
        <i x="127" s="1"/>
        <i x="75" s="1"/>
        <i x="153" s="1"/>
        <i x="120" s="1"/>
        <i x="87" s="1"/>
        <i x="40" s="1"/>
        <i x="204" s="1"/>
        <i x="190" s="1"/>
        <i x="275" s="1"/>
        <i x="189" s="1"/>
        <i x="93" s="1"/>
        <i x="36" s="1"/>
        <i x="256" s="1"/>
        <i x="170" s="1"/>
        <i x="217" s="1"/>
        <i x="77" s="1"/>
        <i x="27" s="1"/>
        <i x="32" s="1"/>
        <i x="193" s="1"/>
        <i x="216" s="1"/>
        <i x="108" s="1"/>
        <i x="283" s="1"/>
        <i x="78" s="1"/>
        <i x="281" s="1"/>
        <i x="284" s="1"/>
        <i x="35" s="1"/>
        <i x="165" s="1"/>
        <i x="293" s="1"/>
        <i x="160" s="1"/>
        <i x="155" s="1"/>
        <i x="136" s="1"/>
        <i x="225" s="1"/>
        <i x="57" s="1"/>
        <i x="185" s="1"/>
        <i x="295" s="1"/>
        <i x="61" s="1"/>
        <i x="243" s="1"/>
        <i x="260" s="1"/>
        <i x="252" s="1"/>
        <i x="195" s="1"/>
        <i x="247" s="1"/>
        <i x="287" s="1"/>
        <i x="306" s="1"/>
        <i x="236" s="1"/>
        <i x="273" s="1"/>
        <i x="12" s="1"/>
        <i x="59" s="1"/>
        <i x="272" s="1"/>
        <i x="162" s="1"/>
        <i x="211" s="1"/>
        <i x="154" s="1"/>
        <i x="37" s="1"/>
        <i x="218" s="1"/>
        <i x="6" s="1"/>
        <i x="226" s="1"/>
        <i x="70" s="1"/>
        <i x="129" s="1"/>
        <i x="119" s="1"/>
        <i x="86" s="1"/>
        <i x="97" s="1"/>
        <i x="39" s="1"/>
        <i x="282" s="1"/>
        <i x="66" s="1"/>
        <i x="25" s="1"/>
        <i x="1" s="1"/>
        <i x="178" s="1"/>
        <i x="142" s="1"/>
        <i x="26" s="1"/>
        <i x="296" s="1"/>
        <i x="210" s="1"/>
        <i x="18" s="1"/>
        <i x="42" s="1"/>
        <i x="289" s="1"/>
        <i x="107" s="1"/>
        <i x="237" s="1"/>
        <i x="76" s="1"/>
        <i x="241" s="1"/>
        <i x="242" s="1"/>
        <i x="238" s="1"/>
        <i x="188" s="1"/>
        <i x="55" s="1"/>
        <i x="96" s="1"/>
        <i x="130" s="1"/>
        <i x="305" s="1"/>
        <i x="14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55FCA36A-4EDA-4ACD-AB0E-31B9F9914FC2}" sourceName="Department">
  <pivotTables>
    <pivotTable tabId="3" name="PivotTable1"/>
  </pivotTables>
  <data>
    <tabular pivotCacheId="165268280">
      <items count="6">
        <i x="3" s="1"/>
        <i x="5" s="1"/>
        <i x="1" s="1"/>
        <i x="0"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AA3D2A0A-8B65-4245-84E0-61D82CCE14DA}" sourceName="Department">
  <pivotTables>
    <pivotTable tabId="3" name="PivotTable6"/>
  </pivotTables>
  <data>
    <tabular pivotCacheId="165268280">
      <items count="6">
        <i x="3" s="1"/>
        <i x="5" s="1"/>
        <i x="1" s="1"/>
        <i x="0" s="1"/>
        <i x="4"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bsences" xr10:uid="{4137CD2F-DFB7-4589-8DC9-22FB9370A7AD}" sourceName="Absences">
  <pivotTables>
    <pivotTable tabId="3" name="PivotTable7"/>
  </pivotTables>
  <data>
    <tabular pivotCacheId="165268280">
      <items count="20">
        <i x="0" s="1"/>
        <i x="4" s="1"/>
        <i x="2" s="1"/>
        <i x="6" s="1"/>
        <i x="14" s="1"/>
        <i x="16" s="1"/>
        <i x="10" s="1"/>
        <i x="12" s="1"/>
        <i x="9" s="1"/>
        <i x="18" s="1"/>
        <i x="17" s="1"/>
        <i x="8" s="1"/>
        <i x="13" s="1"/>
        <i x="15" s="1"/>
        <i x="3" s="1"/>
        <i x="7" s="1"/>
        <i x="1" s="1"/>
        <i x="19" s="1"/>
        <i x="5" s="1"/>
        <i x="1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AAC27FE0-E2F6-4EF4-8F29-62077F9C3BCD}" sourceName="Gender">
  <pivotTables>
    <pivotTable tabId="3" name="PivotTable5"/>
  </pivotTables>
  <data>
    <tabular pivotCacheId="165268280">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BCAF0681-7838-4C89-A3CC-A0B3F114F7FE}" sourceName="State">
  <pivotTables>
    <pivotTable tabId="3" name="PivotTable21"/>
  </pivotTables>
  <data>
    <tabular pivotCacheId="165268280">
      <items count="28">
        <i x="5" s="1"/>
        <i x="26" s="1"/>
        <i x="7" s="1"/>
        <i x="14" s="1"/>
        <i x="2" s="1"/>
        <i x="18" s="1"/>
        <i x="17" s="1"/>
        <i x="21" s="1"/>
        <i x="9" s="1"/>
        <i x="20" s="1"/>
        <i x="0" s="1"/>
        <i x="27" s="1"/>
        <i x="23" s="1"/>
        <i x="19" s="1"/>
        <i x="25" s="1"/>
        <i x="11" s="1"/>
        <i x="22" s="1"/>
        <i x="15" s="1"/>
        <i x="8" s="1"/>
        <i x="24" s="1"/>
        <i x="13" s="1"/>
        <i x="12" s="1"/>
        <i x="10" s="1"/>
        <i x="1" s="1"/>
        <i x="16" s="1"/>
        <i x="3" s="1"/>
        <i x="4" s="1"/>
        <i x="6"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BC508354-4BD4-4EE0-87BB-F1244C0CD520}" sourceName="Age group">
  <pivotTables>
    <pivotTable tabId="3" name="PivotTable4"/>
  </pivotTables>
  <data>
    <tabular pivotCacheId="165268280">
      <items count="5">
        <i x="4" s="1"/>
        <i x="0" s="1"/>
        <i x="1" s="1"/>
        <i x="2" s="1"/>
        <i x="3"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Desc" xr10:uid="{66824EFD-683B-4EF9-AED2-ECF96FA156E8}" sourceName="RaceDesc">
  <pivotTables>
    <pivotTable tabId="2" name="PivotTable3"/>
  </pivotTables>
  <data>
    <tabular pivotCacheId="165268280">
      <items count="6">
        <i x="4" s="1"/>
        <i x="3" s="1"/>
        <i x="1" s="1"/>
        <i x="5" s="1"/>
        <i x="2" s="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0FDCBF0-A2FA-411F-88D6-1E149DA0C82E}" sourceName="State">
  <pivotTables>
    <pivotTable tabId="2" name="PivotTable5"/>
  </pivotTables>
  <data>
    <tabular pivotCacheId="165268280">
      <items count="28">
        <i x="5" s="1"/>
        <i x="26" s="1"/>
        <i x="7" s="1"/>
        <i x="14" s="1"/>
        <i x="2" s="1"/>
        <i x="18" s="1"/>
        <i x="17" s="1"/>
        <i x="21" s="1"/>
        <i x="9" s="1"/>
        <i x="20" s="1"/>
        <i x="0" s="1"/>
        <i x="27" s="1"/>
        <i x="23" s="1"/>
        <i x="19" s="1"/>
        <i x="25" s="1"/>
        <i x="11" s="1"/>
        <i x="22" s="1"/>
        <i x="15" s="1"/>
        <i x="8" s="1"/>
        <i x="24" s="1"/>
        <i x="13" s="1"/>
        <i x="12" s="1"/>
        <i x="10" s="1"/>
        <i x="1" s="1"/>
        <i x="16" s="1"/>
        <i x="3" s="1"/>
        <i x="4" s="1"/>
        <i x="6"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A87FD2C8-4DC8-4D7E-9DCB-E7A68EF168D6}" sourceName="MaritalStatus">
  <pivotTables>
    <pivotTable tabId="2" name="PivotTable4"/>
  </pivotTables>
  <data>
    <tabular pivotCacheId="165268280">
      <items count="5">
        <i x="2" s="1"/>
        <i x="1" s="1"/>
        <i x="4" s="1"/>
        <i x="0" s="1"/>
        <i x="3"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B1EAF6A-4880-4BF4-9ADD-A04D53DF3CF0}" sourceName="Age group">
  <pivotTables>
    <pivotTable tabId="2" name="PivotTable10"/>
  </pivotTables>
  <data>
    <tabular pivotCacheId="165268280">
      <items count="5">
        <i x="4" s="1"/>
        <i x="0" s="1"/>
        <i x="1" s="1"/>
        <i x="2" s="1"/>
        <i x="3"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Status" xr10:uid="{64B19286-9B55-403A-9D85-4B683C973DA9}" sourceName="EmploymentStatus">
  <pivotTables>
    <pivotTable tabId="2" name="PivotTable9"/>
  </pivotTables>
  <data>
    <tabular pivotCacheId="165268280">
      <items count="3">
        <i x="0"/>
        <i x="2"/>
        <i x="1"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70249BA-0F0A-43A9-A0B6-23AD7045BBCB}" sourceName="Gender">
  <pivotTables>
    <pivotTable tabId="2" name="PivotTable1"/>
  </pivotTables>
  <data>
    <tabular pivotCacheId="165268280">
      <items count="2">
        <i x="1" s="1"/>
        <i x="0"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Status1" xr10:uid="{A9A6C0CF-68D8-4D60-A31C-53E9957B55AA}" sourceName="EmploymentStatus">
  <pivotTables>
    <pivotTable tabId="2" name="PivotTable10"/>
  </pivotTables>
  <data>
    <tabular pivotCacheId="165268280">
      <items count="3">
        <i x="0" s="1"/>
        <i x="2" s="1"/>
        <i x="1"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3" xr10:uid="{C1EF5350-37D6-4CE7-A005-0678669D8D7F}" sourceName="Department">
  <pivotTables>
    <pivotTable tabId="5" name="PivotTable1"/>
  </pivotTables>
  <data>
    <tabular pivotCacheId="165268280">
      <items count="6">
        <i x="3" s="1"/>
        <i x="5" s="1"/>
        <i x="1" s="1"/>
        <i x="0" s="1"/>
        <i x="4" s="1"/>
        <i x="2"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ruitmentSource" xr10:uid="{07F652C6-A602-4295-A96A-B548BDCB158F}" sourceName="RecruitmentSource">
  <pivotTables>
    <pivotTable tabId="5" name="PivotTable2"/>
  </pivotTables>
  <data>
    <tabular pivotCacheId="165268280">
      <items count="9">
        <i x="6" s="1"/>
        <i x="4" s="1"/>
        <i x="3" s="1"/>
        <i x="2" s="1"/>
        <i x="1" s="1"/>
        <i x="0" s="1"/>
        <i x="5" s="1"/>
        <i x="8" s="1"/>
        <i x="7"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Score" xr10:uid="{58E0A439-9DC3-4441-9313-F5BE4601E391}" sourceName="PerformanceScore">
  <pivotTables>
    <pivotTable tabId="5" name="PivotTable4"/>
  </pivotTables>
  <data>
    <tabular pivotCacheId="165268280">
      <items count="4">
        <i x="0" s="1"/>
        <i x="1" s="1"/>
        <i x="2" s="1"/>
        <i x="3"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4" xr10:uid="{0325DAB4-AF78-49B6-8CE3-8E6F99D04F90}" sourceName="Department">
  <pivotTables>
    <pivotTable tabId="5" name="PivotTable12"/>
  </pivotTables>
  <data>
    <tabular pivotCacheId="165268280">
      <items count="6">
        <i x="3" s="1"/>
        <i x="5" s="1"/>
        <i x="1" s="1"/>
        <i x="0" s="1"/>
        <i x="4" s="1"/>
        <i x="2"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Satisfaction" xr10:uid="{5A7CA038-8220-48A2-828E-39C6421DAE9E}" sourceName="EmpSatisfaction">
  <pivotTables>
    <pivotTable tabId="5" name="PivotTable6"/>
  </pivotTables>
  <data>
    <tabular pivotCacheId="165268280">
      <items count="5">
        <i x="4" s="1"/>
        <i x="3" s="1"/>
        <i x="1" s="1"/>
        <i x="2" s="1"/>
        <i x="0" s="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 xr10:uid="{835D79E4-B5E5-4817-BD78-CF0DF37E8863}" sourceName="Position">
  <pivotTables>
    <pivotTable tabId="5" name="PivotTable11"/>
  </pivotTables>
  <data>
    <tabular pivotCacheId="165268280">
      <items count="32">
        <i x="10" s="1"/>
        <i x="22"/>
        <i x="11"/>
        <i x="17"/>
        <i x="13"/>
        <i x="31"/>
        <i x="5"/>
        <i x="30"/>
        <i x="28"/>
        <i x="6"/>
        <i x="14"/>
        <i x="21" s="1"/>
        <i x="7"/>
        <i x="20" s="1"/>
        <i x="29"/>
        <i x="26"/>
        <i x="18"/>
        <i x="4"/>
        <i x="19"/>
        <i x="23"/>
        <i x="27"/>
        <i x="9"/>
        <i x="0"/>
        <i x="2"/>
        <i x="16" s="1"/>
        <i x="24"/>
        <i x="25"/>
        <i x="3"/>
        <i x="12"/>
        <i x="8"/>
        <i x="1"/>
        <i x="15"/>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5" xr10:uid="{2EF61621-6342-41A1-9EEE-5C6D094D9ADE}" sourceName="Department">
  <pivotTables>
    <pivotTable tabId="5" name="PivotTable8"/>
  </pivotTables>
  <data>
    <tabular pivotCacheId="165268280">
      <items count="6">
        <i x="3" s="1"/>
        <i x="5" s="1"/>
        <i x="1" s="1"/>
        <i x="0" s="1"/>
        <i x="4" s="1"/>
        <i x="2" s="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6" xr10:uid="{AD292784-64F2-4E11-BEAF-397703F864A8}" sourceName="Department">
  <pivotTables>
    <pivotTable tabId="5" name="PivotTable5"/>
  </pivotTables>
  <data>
    <tabular pivotCacheId="165268280">
      <items count="6">
        <i x="3" s="1"/>
        <i x="5" s="1"/>
        <i x="1" s="1"/>
        <i x="0" s="1"/>
        <i x="4" s="1"/>
        <i x="2" s="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alProjectsCount" xr10:uid="{12BD50B4-689D-48DD-9068-E3EDD98E5B4C}" sourceName="SpecialProjectsCount">
  <pivotTables>
    <pivotTable tabId="5" name="PivotTable7"/>
  </pivotTables>
  <data>
    <tabular pivotCacheId="165268280">
      <items count="9">
        <i x="0" s="1"/>
        <i x="8" s="1"/>
        <i x="7" s="1"/>
        <i x="5" s="1"/>
        <i x="2" s="1"/>
        <i x="3" s="1"/>
        <i x="1" s="1"/>
        <i x="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ceDesc" xr10:uid="{F657A5F1-255D-46B1-AE82-ED5E14EAE102}" cache="Slicer_RaceDesc" caption="RaceDesc" rowHeight="234950"/>
  <slicer name="State" xr10:uid="{EF38CE52-C281-480D-BCEF-F15C775ECA93}" cache="Slicer_State" caption="State" rowHeight="234950"/>
  <slicer name="MaritalStatus" xr10:uid="{FEFBDB4D-D70D-43CF-997E-2F87786F619D}" cache="Slicer_MaritalStatus" caption="MaritalStatus" rowHeight="234950"/>
  <slicer name="Age group" xr10:uid="{41BE3352-4ED6-4B8B-978D-3F4E7247DF05}" cache="Slicer_Age_group" caption="Age group" rowHeight="234950"/>
  <slicer name="EmploymentStatus" xr10:uid="{F13968E0-E3D3-472D-9A20-DEA07290A4B3}" cache="Slicer_EmploymentStatus" caption="EmploymentStatus" rowHeight="234950"/>
  <slicer name="Gender 1" xr10:uid="{6408C0DE-00BB-4C2C-AF00-1EC816100185}" cache="Slicer_Gender" caption="Gender" rowHeight="234950"/>
  <slicer name="EmploymentStatus 1" xr10:uid="{4508521B-BB80-4F03-BF45-2C9CCD316A8B}" cache="Slicer_EmploymentStatus1" caption="Employment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E1B8005-49DE-4C4A-8A42-7DCC766ADFBB}" cache="Slicer_Department" caption="Department" startItem="2" rowHeight="234950"/>
  <slicer name="Salary" xr10:uid="{CD8DB76B-A192-450C-8D83-7FF00F1E5016}" cache="Slicer_Salary" caption="Salary" rowHeight="234950"/>
  <slicer name="Department 1" xr10:uid="{5E5064BC-A2EC-4B2D-9D33-104D33448176}" cache="Slicer_Department1" caption="Department" rowHeight="234950"/>
  <slicer name="Department 2" xr10:uid="{590DDB4F-1F65-4BEC-B611-86F1E674B943}" cache="Slicer_Department2" caption="Department" rowHeight="234950"/>
  <slicer name="Absences" xr10:uid="{BB89F351-7279-42B5-B8CD-890E0A390289}" cache="Slicer_Absences" caption="Absences" rowHeight="234950"/>
  <slicer name="Gender" xr10:uid="{A4D167D7-5A3F-48BE-A1CF-18AB396436F2}" cache="Slicer_Gender1" caption="Gender" rowHeight="234950"/>
  <slicer name="State 1" xr10:uid="{73FF7B2C-40F8-46F7-BBD0-0E18B12687B4}" cache="Slicer_State1" caption="State" rowHeight="234950"/>
  <slicer name="Age group 1" xr10:uid="{9F0F083C-327C-4500-8D1B-1A5905218E3C}" cache="Slicer_Age_group1" caption="Age group"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7C4FEDED-3082-4076-AB14-5CFF30B0D9CD}" cache="Slicer_Department3" caption="Department" rowHeight="234950"/>
  <slicer name="RecruitmentSource" xr10:uid="{3E660D82-CAE9-45B8-8FA8-ED180549FD66}" cache="Slicer_RecruitmentSource" caption="RecruitmentSource" rowHeight="234950"/>
  <slicer name="PerformanceScore" xr10:uid="{CAD60E2A-8F7A-426F-B3C7-E7AECC8F82E7}" cache="Slicer_PerformanceScore" caption="PerformanceScore" rowHeight="234950"/>
  <slicer name="Department 4" xr10:uid="{843D3D53-305C-400F-91D4-31F6D959CCAA}" cache="Slicer_Department4" caption="Department" startItem="1" rowHeight="234950"/>
  <slicer name="EmpSatisfaction" xr10:uid="{AE075ABE-CF67-4983-8028-6DBC86A196E2}" cache="Slicer_EmpSatisfaction" caption="EmpSatisfaction" rowHeight="234950"/>
  <slicer name="Position" xr10:uid="{AC8DFAF6-BD7C-4294-9386-01FBED1208D4}" cache="Slicer_Position" caption="Position" startItem="14" rowHeight="234950"/>
  <slicer name="Department 5" xr10:uid="{D34EB817-774B-44B1-8FF4-18E65DDFE28A}" cache="Slicer_Department5" caption="Department" rowHeight="234950"/>
  <slicer name="Department 6" xr10:uid="{545E4555-50B1-4757-8A6E-160275403A60}" cache="Slicer_Department6" caption="Department" rowHeight="234950"/>
  <slicer name="SpecialProjectsCount" xr10:uid="{7F973ED1-18C6-4912-915F-EB7871E49066}" cache="Slicer_SpecialProjectsCount" caption="SpecialProjectsCou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D2A22A-D3A2-4163-B98E-A0F0ABCD520C}" name="Table1" displayName="Table1" ref="A1:AB312" totalsRowShown="0" headerRowDxfId="32" dataDxfId="30" headerRowBorderDxfId="31" tableBorderDxfId="29" totalsRowBorderDxfId="28">
  <autoFilter ref="A1:AB312" xr:uid="{F5D2A22A-D3A2-4163-B98E-A0F0ABCD520C}"/>
  <tableColumns count="28">
    <tableColumn id="1" xr3:uid="{706D1F14-9585-451F-B588-ECF78558D90E}" name="Employee_Name" dataDxfId="27"/>
    <tableColumn id="2" xr3:uid="{B61E04FD-9A66-4E2A-835C-CA0A4997E711}" name="EmpID" dataDxfId="26"/>
    <tableColumn id="3" xr3:uid="{9CD08CE0-812B-4F1F-9EC8-E3CC1C6DA979}" name="Salary" dataDxfId="25"/>
    <tableColumn id="4" xr3:uid="{2F00AAAC-1D30-410F-8A6E-EBE4D9A4A2C3}" name="Position" dataDxfId="24"/>
    <tableColumn id="5" xr3:uid="{45D865C7-58BE-44B9-B6C8-3ED65ADF695A}" name="State" dataDxfId="23"/>
    <tableColumn id="6" xr3:uid="{2999D75A-8A8B-4FBF-A110-13E61E8AE71D}" name="Zip" dataDxfId="22"/>
    <tableColumn id="7" xr3:uid="{4E46FBF7-9B67-442F-9922-3858A84E689E}" name="DateofBirth" dataDxfId="21"/>
    <tableColumn id="8" xr3:uid="{8837CEB7-E7B5-498E-A8E7-BCD9FE3873F9}" name="Gender" dataDxfId="20"/>
    <tableColumn id="9" xr3:uid="{CD4AB260-C565-4790-9DF2-8CD47ED3F464}" name="MaritalStatus" dataDxfId="19"/>
    <tableColumn id="10" xr3:uid="{73D17459-7192-4BD6-B712-62FC020F672C}" name="CitizenDesc" dataDxfId="18"/>
    <tableColumn id="11" xr3:uid="{6B5A1720-35D9-4C4C-AE70-24BD763F05E6}" name="HispanicLatino" dataDxfId="17"/>
    <tableColumn id="12" xr3:uid="{D6E43F9B-CF1E-4D54-BC59-982FB178DB19}" name="RaceDesc" dataDxfId="16"/>
    <tableColumn id="13" xr3:uid="{16D49DA8-6BDF-4341-8D63-5A63A533FE74}" name="DateofHire" dataDxfId="15"/>
    <tableColumn id="14" xr3:uid="{3019EB4B-518D-4F48-B95A-4C7186183C49}" name="DateofTermination" dataDxfId="14"/>
    <tableColumn id="15" xr3:uid="{5180FD8E-6C11-42D4-879F-C743FCECDE2D}" name="TermReason" dataDxfId="13"/>
    <tableColumn id="16" xr3:uid="{8BAB5301-FAB1-4813-AB77-438461AF88CC}" name="EmploymentStatus" dataDxfId="12"/>
    <tableColumn id="17" xr3:uid="{10329925-AC70-4972-8F31-A208F1F14C5D}" name="Department" dataDxfId="11"/>
    <tableColumn id="18" xr3:uid="{6D9FFDFC-9FF8-484D-9BF4-F062CDF828DD}" name="ManagerName" dataDxfId="10"/>
    <tableColumn id="19" xr3:uid="{1652B248-A336-41B0-9264-A922335D9D4F}" name="RecruitmentSource" dataDxfId="9"/>
    <tableColumn id="20" xr3:uid="{489CB9BA-F4C0-416D-8E3D-3C4231F86CAE}" name="PerformanceScore" dataDxfId="8"/>
    <tableColumn id="21" xr3:uid="{86D77FB5-03EB-41FD-925D-5845F5E528E6}" name="EngagementSurvey" dataDxfId="7"/>
    <tableColumn id="22" xr3:uid="{1DE73AD5-F3BF-4B89-8447-9BAC0D274D2D}" name="EmpSatisfaction" dataDxfId="6"/>
    <tableColumn id="23" xr3:uid="{B341D903-C851-499B-9567-65B9A5099088}" name="SpecialProjectsCount" dataDxfId="5"/>
    <tableColumn id="24" xr3:uid="{1F01D206-28ED-4217-9F83-C92134C38E4E}" name="LastPerformanceReview_Date" dataDxfId="4"/>
    <tableColumn id="25" xr3:uid="{3B21CFC9-E79A-4CAF-8F0E-44B5B9A743CB}" name="DaysLateLast30" dataDxfId="3"/>
    <tableColumn id="26" xr3:uid="{25284E34-B1A7-4896-BEBD-C3DDAC3F7C1C}" name="Absences" dataDxfId="2"/>
    <tableColumn id="27" xr3:uid="{C169E95B-4AF4-444C-B722-92E5835A5054}" name="age" dataDxfId="1">
      <calculatedColumnFormula>DATEDIF(Table1[[#This Row],[DateofBirth]],"1-1-2020","y")</calculatedColumnFormula>
    </tableColumn>
    <tableColumn id="28" xr3:uid="{B052C6E2-87F7-4C91-B508-5215ACE2F195}" name="Age group" dataDxfId="0">
      <calculatedColumnFormula array="1">_xlfn.IFS(Table1[[#This Row],[age]]&lt; 20,"&lt;20",Table1[[#This Row],[age]]&lt; 30,"21-30",Table1[[#This Row],[age]]&lt; 40,"31-40", Table1[[#This Row],[age]]&lt; 50,"41-50",Table1[[#This Row],[age]]&lt; 60,"51-60",Table1[[#This Row],[age]]&lt;70,"60+")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Arial Black-Arial">
      <a:majorFont>
        <a:latin typeface="Arial Black" panose="020B0A04020102020204"/>
        <a:ea typeface=""/>
        <a:cs typeface=""/>
        <a:font script="Jpan" typeface="ＭＳ ゴシック"/>
        <a:font script="Hang" typeface="굴림"/>
        <a:font script="Hans" typeface="微软雅黑"/>
        <a:font script="Hant" typeface="微軟正黑體"/>
        <a:font script="Arab" typeface="Tahoma"/>
        <a:font script="Hebr" typeface="Tahoma"/>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4.xml"/><Relationship Id="rId3" Type="http://schemas.openxmlformats.org/officeDocument/2006/relationships/pivotTable" Target="../pivotTables/pivotTable19.xml"/><Relationship Id="rId7" Type="http://schemas.openxmlformats.org/officeDocument/2006/relationships/pivotTable" Target="../pivotTables/pivotTable23.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11" Type="http://schemas.openxmlformats.org/officeDocument/2006/relationships/drawing" Target="../drawings/drawing3.xml"/><Relationship Id="rId5" Type="http://schemas.openxmlformats.org/officeDocument/2006/relationships/pivotTable" Target="../pivotTables/pivotTable21.xml"/><Relationship Id="rId10" Type="http://schemas.openxmlformats.org/officeDocument/2006/relationships/pivotTable" Target="../pivotTables/pivotTable26.xml"/><Relationship Id="rId4" Type="http://schemas.openxmlformats.org/officeDocument/2006/relationships/pivotTable" Target="../pivotTables/pivotTable20.xml"/><Relationship Id="rId9" Type="http://schemas.openxmlformats.org/officeDocument/2006/relationships/pivotTable" Target="../pivotTables/pivotTable25.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DDED5-A09F-44FB-88A4-3AAC73AA3C78}">
  <sheetPr codeName="Sheet1"/>
  <dimension ref="A1:AB1000"/>
  <sheetViews>
    <sheetView topLeftCell="A2" workbookViewId="0">
      <selection activeCell="C23" sqref="A2:AB312"/>
    </sheetView>
  </sheetViews>
  <sheetFormatPr defaultColWidth="13.8984375" defaultRowHeight="13.8"/>
  <cols>
    <col min="1" max="1" width="20.59765625" customWidth="1"/>
    <col min="2" max="2" width="9.296875" customWidth="1"/>
    <col min="3" max="3" width="8.8984375" customWidth="1"/>
    <col min="4" max="4" width="26.59765625" customWidth="1"/>
    <col min="5" max="5" width="7.796875" customWidth="1"/>
    <col min="6" max="6" width="6.296875" customWidth="1"/>
    <col min="7" max="7" width="13.796875" customWidth="1"/>
    <col min="8" max="8" width="10" customWidth="1"/>
    <col min="9" max="9" width="15.3984375" customWidth="1"/>
    <col min="10" max="10" width="14.3984375" customWidth="1"/>
    <col min="11" max="11" width="17.09765625" customWidth="1"/>
    <col min="12" max="12" width="28.3984375" customWidth="1"/>
    <col min="13" max="13" width="13.09765625" customWidth="1"/>
    <col min="14" max="14" width="20.796875" customWidth="1"/>
    <col min="15" max="15" width="26.59765625" customWidth="1"/>
    <col min="16" max="16" width="21.3984375" customWidth="1"/>
    <col min="17" max="17" width="18.3984375" customWidth="1"/>
    <col min="18" max="18" width="16.796875" customWidth="1"/>
    <col min="19" max="19" width="21.69921875" customWidth="1"/>
    <col min="20" max="20" width="21" customWidth="1"/>
    <col min="21" max="21" width="22.09765625" customWidth="1"/>
    <col min="22" max="22" width="18.59765625" customWidth="1"/>
    <col min="23" max="23" width="23.69921875" customWidth="1"/>
    <col min="24" max="24" width="32.3984375" customWidth="1"/>
    <col min="25" max="25" width="18.296875" customWidth="1"/>
    <col min="26" max="26" width="12.5" customWidth="1"/>
  </cols>
  <sheetData>
    <row r="1" spans="1:28" ht="13.5" customHeight="1">
      <c r="A1" s="1" t="s">
        <v>0</v>
      </c>
      <c r="B1" s="2" t="s">
        <v>1</v>
      </c>
      <c r="C1" s="2" t="s">
        <v>2</v>
      </c>
      <c r="D1" s="2" t="s">
        <v>3</v>
      </c>
      <c r="E1" s="2" t="s">
        <v>4</v>
      </c>
      <c r="F1" s="2" t="s">
        <v>5</v>
      </c>
      <c r="G1" s="3"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4" t="s">
        <v>25</v>
      </c>
      <c r="AA1" s="2" t="s">
        <v>26</v>
      </c>
      <c r="AB1" s="2" t="s">
        <v>27</v>
      </c>
    </row>
    <row r="2" spans="1:28" ht="13.5" customHeight="1">
      <c r="A2" s="5" t="s">
        <v>28</v>
      </c>
      <c r="B2" s="6">
        <v>10026</v>
      </c>
      <c r="C2" s="6">
        <v>62506</v>
      </c>
      <c r="D2" s="6" t="s">
        <v>29</v>
      </c>
      <c r="E2" s="6" t="s">
        <v>30</v>
      </c>
      <c r="F2" s="6">
        <v>1960</v>
      </c>
      <c r="G2" s="7">
        <v>30596</v>
      </c>
      <c r="H2" s="6" t="s">
        <v>31</v>
      </c>
      <c r="I2" s="6" t="s">
        <v>32</v>
      </c>
      <c r="J2" s="6" t="s">
        <v>33</v>
      </c>
      <c r="K2" s="6" t="s">
        <v>34</v>
      </c>
      <c r="L2" s="6" t="s">
        <v>35</v>
      </c>
      <c r="M2" s="7">
        <v>40670</v>
      </c>
      <c r="N2" s="7">
        <v>32874</v>
      </c>
      <c r="O2" s="6" t="s">
        <v>36</v>
      </c>
      <c r="P2" s="6" t="s">
        <v>37</v>
      </c>
      <c r="Q2" s="6" t="s">
        <v>38</v>
      </c>
      <c r="R2" s="6" t="s">
        <v>39</v>
      </c>
      <c r="S2" s="6" t="s">
        <v>40</v>
      </c>
      <c r="T2" s="6" t="s">
        <v>41</v>
      </c>
      <c r="U2" s="6">
        <v>4.5999999999999996</v>
      </c>
      <c r="V2" s="6">
        <v>5</v>
      </c>
      <c r="W2" s="6">
        <v>0</v>
      </c>
      <c r="X2" s="7">
        <v>43482</v>
      </c>
      <c r="Y2" s="6">
        <v>0</v>
      </c>
      <c r="Z2" s="8">
        <v>1</v>
      </c>
      <c r="AA2" s="9">
        <f>DATEDIF(Table1[[#This Row],[DateofBirth]],"1-1-2020","y")</f>
        <v>36</v>
      </c>
      <c r="AB2" s="10" t="str" cm="1">
        <f t="array" ref="AB2">_xlfn.IFS(Table1[[#This Row],[age]]&lt; 20,"&lt;20",Table1[[#This Row],[age]]&lt; 30,"21-30",Table1[[#This Row],[age]]&lt; 40,"31-40", Table1[[#This Row],[age]]&lt; 50,"41-50",Table1[[#This Row],[age]]&lt; 60,"51-60",Table1[[#This Row],[age]]&lt;70,"60+")</f>
        <v>31-40</v>
      </c>
    </row>
    <row r="3" spans="1:28" ht="13.5" customHeight="1">
      <c r="A3" s="5" t="s">
        <v>42</v>
      </c>
      <c r="B3" s="6">
        <v>10084</v>
      </c>
      <c r="C3" s="6">
        <v>104437</v>
      </c>
      <c r="D3" s="6" t="s">
        <v>43</v>
      </c>
      <c r="E3" s="6" t="s">
        <v>30</v>
      </c>
      <c r="F3" s="6">
        <v>2148</v>
      </c>
      <c r="G3" s="7">
        <v>27519</v>
      </c>
      <c r="H3" s="6" t="s">
        <v>31</v>
      </c>
      <c r="I3" s="6" t="s">
        <v>44</v>
      </c>
      <c r="J3" s="6" t="s">
        <v>33</v>
      </c>
      <c r="K3" s="6" t="s">
        <v>34</v>
      </c>
      <c r="L3" s="6" t="s">
        <v>35</v>
      </c>
      <c r="M3" s="7">
        <v>42093</v>
      </c>
      <c r="N3" s="7">
        <v>42537</v>
      </c>
      <c r="O3" s="6" t="s">
        <v>45</v>
      </c>
      <c r="P3" s="6" t="s">
        <v>46</v>
      </c>
      <c r="Q3" s="6" t="s">
        <v>47</v>
      </c>
      <c r="R3" s="6" t="s">
        <v>48</v>
      </c>
      <c r="S3" s="6" t="s">
        <v>49</v>
      </c>
      <c r="T3" s="6" t="s">
        <v>50</v>
      </c>
      <c r="U3" s="6">
        <v>4.96</v>
      </c>
      <c r="V3" s="6">
        <v>3</v>
      </c>
      <c r="W3" s="6">
        <v>6</v>
      </c>
      <c r="X3" s="7">
        <v>42424</v>
      </c>
      <c r="Y3" s="6">
        <v>0</v>
      </c>
      <c r="Z3" s="8">
        <v>17</v>
      </c>
      <c r="AA3" s="9">
        <f>DATEDIF(Table1[[#This Row],[DateofBirth]],"1-1-2020","y")</f>
        <v>44</v>
      </c>
      <c r="AB3" s="10" t="str" cm="1">
        <f t="array" ref="AB3">_xlfn.IFS(Table1[[#This Row],[age]]&lt; 20,"&lt;20",Table1[[#This Row],[age]]&lt; 30,"21-30",Table1[[#This Row],[age]]&lt; 40,"31-40", Table1[[#This Row],[age]]&lt; 50,"41-50",Table1[[#This Row],[age]]&lt; 60,"51-60",Table1[[#This Row],[age]]&lt;70,"60+")</f>
        <v>41-50</v>
      </c>
    </row>
    <row r="4" spans="1:28" ht="13.5" customHeight="1">
      <c r="A4" s="5" t="s">
        <v>51</v>
      </c>
      <c r="B4" s="6">
        <v>10196</v>
      </c>
      <c r="C4" s="6">
        <v>64955</v>
      </c>
      <c r="D4" s="6" t="s">
        <v>52</v>
      </c>
      <c r="E4" s="6" t="s">
        <v>30</v>
      </c>
      <c r="F4" s="6">
        <v>1810</v>
      </c>
      <c r="G4" s="7">
        <v>32405</v>
      </c>
      <c r="H4" s="6" t="s">
        <v>53</v>
      </c>
      <c r="I4" s="6" t="s">
        <v>44</v>
      </c>
      <c r="J4" s="6" t="s">
        <v>33</v>
      </c>
      <c r="K4" s="6" t="s">
        <v>34</v>
      </c>
      <c r="L4" s="6" t="s">
        <v>35</v>
      </c>
      <c r="M4" s="7">
        <v>40670</v>
      </c>
      <c r="N4" s="7">
        <v>41176</v>
      </c>
      <c r="O4" s="6" t="s">
        <v>54</v>
      </c>
      <c r="P4" s="6" t="s">
        <v>46</v>
      </c>
      <c r="Q4" s="6" t="s">
        <v>38</v>
      </c>
      <c r="R4" s="6" t="s">
        <v>55</v>
      </c>
      <c r="S4" s="6" t="s">
        <v>40</v>
      </c>
      <c r="T4" s="6" t="s">
        <v>50</v>
      </c>
      <c r="U4" s="6">
        <v>3.02</v>
      </c>
      <c r="V4" s="6">
        <v>3</v>
      </c>
      <c r="W4" s="6">
        <v>0</v>
      </c>
      <c r="X4" s="7">
        <v>41044</v>
      </c>
      <c r="Y4" s="6">
        <v>0</v>
      </c>
      <c r="Z4" s="8">
        <v>3</v>
      </c>
      <c r="AA4" s="9">
        <f>DATEDIF(Table1[[#This Row],[DateofBirth]],"1-1-2020","y")</f>
        <v>31</v>
      </c>
      <c r="AB4" s="10" t="str" cm="1">
        <f t="array" ref="AB4">_xlfn.IFS(Table1[[#This Row],[age]]&lt; 20,"&lt;20",Table1[[#This Row],[age]]&lt; 30,"21-30",Table1[[#This Row],[age]]&lt; 40,"31-40", Table1[[#This Row],[age]]&lt; 50,"41-50",Table1[[#This Row],[age]]&lt; 60,"51-60",Table1[[#This Row],[age]]&lt;70,"60+")</f>
        <v>31-40</v>
      </c>
    </row>
    <row r="5" spans="1:28" ht="13.5" customHeight="1">
      <c r="A5" s="5" t="s">
        <v>56</v>
      </c>
      <c r="B5" s="6">
        <v>10088</v>
      </c>
      <c r="C5" s="6">
        <v>64991</v>
      </c>
      <c r="D5" s="6" t="s">
        <v>29</v>
      </c>
      <c r="E5" s="6" t="s">
        <v>30</v>
      </c>
      <c r="F5" s="6">
        <v>1886</v>
      </c>
      <c r="G5" s="7">
        <v>32413</v>
      </c>
      <c r="H5" s="6" t="s">
        <v>53</v>
      </c>
      <c r="I5" s="6" t="s">
        <v>44</v>
      </c>
      <c r="J5" s="6" t="s">
        <v>33</v>
      </c>
      <c r="K5" s="6" t="s">
        <v>34</v>
      </c>
      <c r="L5" s="6" t="s">
        <v>35</v>
      </c>
      <c r="M5" s="7">
        <v>39630</v>
      </c>
      <c r="N5" s="7">
        <v>32874</v>
      </c>
      <c r="O5" s="6" t="s">
        <v>36</v>
      </c>
      <c r="P5" s="6" t="s">
        <v>37</v>
      </c>
      <c r="Q5" s="6" t="s">
        <v>38</v>
      </c>
      <c r="R5" s="6" t="s">
        <v>57</v>
      </c>
      <c r="S5" s="6" t="s">
        <v>49</v>
      </c>
      <c r="T5" s="6" t="s">
        <v>50</v>
      </c>
      <c r="U5" s="6">
        <v>4.84</v>
      </c>
      <c r="V5" s="6">
        <v>5</v>
      </c>
      <c r="W5" s="6">
        <v>0</v>
      </c>
      <c r="X5" s="7">
        <v>43525</v>
      </c>
      <c r="Y5" s="6">
        <v>0</v>
      </c>
      <c r="Z5" s="8">
        <v>15</v>
      </c>
      <c r="AA5" s="9">
        <f>DATEDIF(Table1[[#This Row],[DateofBirth]],"1-1-2020","y")</f>
        <v>31</v>
      </c>
      <c r="AB5" s="10" t="str" cm="1">
        <f t="array" ref="AB5">_xlfn.IFS(Table1[[#This Row],[age]]&lt; 20,"&lt;20",Table1[[#This Row],[age]]&lt; 30,"21-30",Table1[[#This Row],[age]]&lt; 40,"31-40", Table1[[#This Row],[age]]&lt; 50,"41-50",Table1[[#This Row],[age]]&lt; 60,"51-60",Table1[[#This Row],[age]]&lt;70,"60+")</f>
        <v>31-40</v>
      </c>
    </row>
    <row r="6" spans="1:28" ht="13.5" customHeight="1">
      <c r="A6" s="5" t="s">
        <v>58</v>
      </c>
      <c r="B6" s="6">
        <v>10069</v>
      </c>
      <c r="C6" s="6">
        <v>50825</v>
      </c>
      <c r="D6" s="6" t="s">
        <v>29</v>
      </c>
      <c r="E6" s="6" t="s">
        <v>30</v>
      </c>
      <c r="F6" s="6">
        <v>2169</v>
      </c>
      <c r="G6" s="7">
        <v>32729</v>
      </c>
      <c r="H6" s="6" t="s">
        <v>53</v>
      </c>
      <c r="I6" s="6" t="s">
        <v>59</v>
      </c>
      <c r="J6" s="6" t="s">
        <v>33</v>
      </c>
      <c r="K6" s="6" t="s">
        <v>34</v>
      </c>
      <c r="L6" s="6" t="s">
        <v>35</v>
      </c>
      <c r="M6" s="7">
        <v>40854</v>
      </c>
      <c r="N6" s="7">
        <v>42530</v>
      </c>
      <c r="O6" s="6" t="s">
        <v>60</v>
      </c>
      <c r="P6" s="6" t="s">
        <v>46</v>
      </c>
      <c r="Q6" s="6" t="s">
        <v>38</v>
      </c>
      <c r="R6" s="6" t="s">
        <v>61</v>
      </c>
      <c r="S6" s="6" t="s">
        <v>62</v>
      </c>
      <c r="T6" s="6" t="s">
        <v>50</v>
      </c>
      <c r="U6" s="6">
        <v>5</v>
      </c>
      <c r="V6" s="6">
        <v>4</v>
      </c>
      <c r="W6" s="6">
        <v>0</v>
      </c>
      <c r="X6" s="7">
        <v>42371</v>
      </c>
      <c r="Y6" s="6">
        <v>0</v>
      </c>
      <c r="Z6" s="8">
        <v>2</v>
      </c>
      <c r="AA6" s="9">
        <f>DATEDIF(Table1[[#This Row],[DateofBirth]],"1-1-2020","y")</f>
        <v>30</v>
      </c>
      <c r="AB6" s="10" t="str" cm="1">
        <f t="array" ref="AB6">_xlfn.IFS(Table1[[#This Row],[age]]&lt; 20,"&lt;20",Table1[[#This Row],[age]]&lt; 30,"21-30",Table1[[#This Row],[age]]&lt; 40,"31-40", Table1[[#This Row],[age]]&lt; 50,"41-50",Table1[[#This Row],[age]]&lt; 60,"51-60",Table1[[#This Row],[age]]&lt;70,"60+")</f>
        <v>31-40</v>
      </c>
    </row>
    <row r="7" spans="1:28" ht="13.5" customHeight="1">
      <c r="A7" s="5" t="s">
        <v>63</v>
      </c>
      <c r="B7" s="6">
        <v>10002</v>
      </c>
      <c r="C7" s="6">
        <v>57568</v>
      </c>
      <c r="D7" s="6" t="s">
        <v>29</v>
      </c>
      <c r="E7" s="6" t="s">
        <v>30</v>
      </c>
      <c r="F7" s="6">
        <v>1844</v>
      </c>
      <c r="G7" s="7">
        <v>28267</v>
      </c>
      <c r="H7" s="6" t="s">
        <v>53</v>
      </c>
      <c r="I7" s="6" t="s">
        <v>32</v>
      </c>
      <c r="J7" s="6" t="s">
        <v>33</v>
      </c>
      <c r="K7" s="6" t="s">
        <v>34</v>
      </c>
      <c r="L7" s="6" t="s">
        <v>35</v>
      </c>
      <c r="M7" s="7">
        <v>41153</v>
      </c>
      <c r="N7" s="7">
        <v>32874</v>
      </c>
      <c r="O7" s="6" t="s">
        <v>36</v>
      </c>
      <c r="P7" s="6" t="s">
        <v>37</v>
      </c>
      <c r="Q7" s="6" t="s">
        <v>38</v>
      </c>
      <c r="R7" s="6" t="s">
        <v>64</v>
      </c>
      <c r="S7" s="6" t="s">
        <v>40</v>
      </c>
      <c r="T7" s="6" t="s">
        <v>41</v>
      </c>
      <c r="U7" s="6">
        <v>5</v>
      </c>
      <c r="V7" s="6">
        <v>5</v>
      </c>
      <c r="W7" s="6">
        <v>0</v>
      </c>
      <c r="X7" s="7">
        <v>43647</v>
      </c>
      <c r="Y7" s="6">
        <v>0</v>
      </c>
      <c r="Z7" s="8">
        <v>15</v>
      </c>
      <c r="AA7" s="9">
        <f>DATEDIF(Table1[[#This Row],[DateofBirth]],"1-1-2020","y")</f>
        <v>42</v>
      </c>
      <c r="AB7" s="10" t="str" cm="1">
        <f t="array" ref="AB7">_xlfn.IFS(Table1[[#This Row],[age]]&lt; 20,"&lt;20",Table1[[#This Row],[age]]&lt; 30,"21-30",Table1[[#This Row],[age]]&lt; 40,"31-40", Table1[[#This Row],[age]]&lt; 50,"41-50",Table1[[#This Row],[age]]&lt; 60,"51-60",Table1[[#This Row],[age]]&lt;70,"60+")</f>
        <v>41-50</v>
      </c>
    </row>
    <row r="8" spans="1:28" ht="13.5" customHeight="1">
      <c r="A8" s="5" t="s">
        <v>65</v>
      </c>
      <c r="B8" s="6">
        <v>10194</v>
      </c>
      <c r="C8" s="6">
        <v>95660</v>
      </c>
      <c r="D8" s="6" t="s">
        <v>66</v>
      </c>
      <c r="E8" s="6" t="s">
        <v>30</v>
      </c>
      <c r="F8" s="6">
        <v>2110</v>
      </c>
      <c r="G8" s="7">
        <v>28999</v>
      </c>
      <c r="H8" s="6" t="s">
        <v>53</v>
      </c>
      <c r="I8" s="6" t="s">
        <v>32</v>
      </c>
      <c r="J8" s="6" t="s">
        <v>33</v>
      </c>
      <c r="K8" s="6" t="s">
        <v>34</v>
      </c>
      <c r="L8" s="6" t="s">
        <v>35</v>
      </c>
      <c r="M8" s="7">
        <v>41923</v>
      </c>
      <c r="N8" s="7">
        <v>32874</v>
      </c>
      <c r="O8" s="6" t="s">
        <v>36</v>
      </c>
      <c r="P8" s="6" t="s">
        <v>37</v>
      </c>
      <c r="Q8" s="6" t="s">
        <v>67</v>
      </c>
      <c r="R8" s="6" t="s">
        <v>68</v>
      </c>
      <c r="S8" s="6" t="s">
        <v>40</v>
      </c>
      <c r="T8" s="6" t="s">
        <v>50</v>
      </c>
      <c r="U8" s="6">
        <v>3.04</v>
      </c>
      <c r="V8" s="6">
        <v>3</v>
      </c>
      <c r="W8" s="6">
        <v>4</v>
      </c>
      <c r="X8" s="7">
        <v>43497</v>
      </c>
      <c r="Y8" s="6">
        <v>0</v>
      </c>
      <c r="Z8" s="8">
        <v>19</v>
      </c>
      <c r="AA8" s="9">
        <f>DATEDIF(Table1[[#This Row],[DateofBirth]],"1-1-2020","y")</f>
        <v>40</v>
      </c>
      <c r="AB8" s="10" t="str" cm="1">
        <f t="array" ref="AB8">_xlfn.IFS(Table1[[#This Row],[age]]&lt; 20,"&lt;20",Table1[[#This Row],[age]]&lt; 30,"21-30",Table1[[#This Row],[age]]&lt; 40,"31-40", Table1[[#This Row],[age]]&lt; 50,"41-50",Table1[[#This Row],[age]]&lt; 60,"51-60",Table1[[#This Row],[age]]&lt;70,"60+")</f>
        <v>41-50</v>
      </c>
    </row>
    <row r="9" spans="1:28" ht="13.5" customHeight="1">
      <c r="A9" s="5" t="s">
        <v>69</v>
      </c>
      <c r="B9" s="6">
        <v>10062</v>
      </c>
      <c r="C9" s="6">
        <v>59365</v>
      </c>
      <c r="D9" s="6" t="s">
        <v>29</v>
      </c>
      <c r="E9" s="6" t="s">
        <v>30</v>
      </c>
      <c r="F9" s="6">
        <v>2199</v>
      </c>
      <c r="G9" s="7">
        <v>30365</v>
      </c>
      <c r="H9" s="6" t="s">
        <v>31</v>
      </c>
      <c r="I9" s="6" t="s">
        <v>70</v>
      </c>
      <c r="J9" s="6" t="s">
        <v>33</v>
      </c>
      <c r="K9" s="6" t="s">
        <v>34</v>
      </c>
      <c r="L9" s="6" t="s">
        <v>35</v>
      </c>
      <c r="M9" s="7">
        <v>41547</v>
      </c>
      <c r="N9" s="7">
        <v>32874</v>
      </c>
      <c r="O9" s="6" t="s">
        <v>36</v>
      </c>
      <c r="P9" s="6" t="s">
        <v>37</v>
      </c>
      <c r="Q9" s="6" t="s">
        <v>38</v>
      </c>
      <c r="R9" s="6" t="s">
        <v>71</v>
      </c>
      <c r="S9" s="6" t="s">
        <v>72</v>
      </c>
      <c r="T9" s="6" t="s">
        <v>50</v>
      </c>
      <c r="U9" s="6">
        <v>5</v>
      </c>
      <c r="V9" s="6">
        <v>4</v>
      </c>
      <c r="W9" s="6">
        <v>0</v>
      </c>
      <c r="X9" s="7">
        <v>43521</v>
      </c>
      <c r="Y9" s="6">
        <v>0</v>
      </c>
      <c r="Z9" s="8">
        <v>19</v>
      </c>
      <c r="AA9" s="9">
        <f>DATEDIF(Table1[[#This Row],[DateofBirth]],"1-1-2020","y")</f>
        <v>36</v>
      </c>
      <c r="AB9" s="10" t="str" cm="1">
        <f t="array" ref="AB9">_xlfn.IFS(Table1[[#This Row],[age]]&lt; 20,"&lt;20",Table1[[#This Row],[age]]&lt; 30,"21-30",Table1[[#This Row],[age]]&lt; 40,"31-40", Table1[[#This Row],[age]]&lt; 50,"41-50",Table1[[#This Row],[age]]&lt; 60,"51-60",Table1[[#This Row],[age]]&lt;70,"60+")</f>
        <v>31-40</v>
      </c>
    </row>
    <row r="10" spans="1:28" ht="13.5" customHeight="1">
      <c r="A10" s="5" t="s">
        <v>73</v>
      </c>
      <c r="B10" s="6">
        <v>10114</v>
      </c>
      <c r="C10" s="6">
        <v>47837</v>
      </c>
      <c r="D10" s="6" t="s">
        <v>29</v>
      </c>
      <c r="E10" s="6" t="s">
        <v>30</v>
      </c>
      <c r="F10" s="6">
        <v>1902</v>
      </c>
      <c r="G10" s="7">
        <v>25874</v>
      </c>
      <c r="H10" s="6" t="s">
        <v>53</v>
      </c>
      <c r="I10" s="6" t="s">
        <v>32</v>
      </c>
      <c r="J10" s="6" t="s">
        <v>33</v>
      </c>
      <c r="K10" s="6" t="s">
        <v>34</v>
      </c>
      <c r="L10" s="6" t="s">
        <v>74</v>
      </c>
      <c r="M10" s="7">
        <v>39971</v>
      </c>
      <c r="N10" s="7">
        <v>32874</v>
      </c>
      <c r="O10" s="6" t="s">
        <v>36</v>
      </c>
      <c r="P10" s="6" t="s">
        <v>37</v>
      </c>
      <c r="Q10" s="6" t="s">
        <v>38</v>
      </c>
      <c r="R10" s="6" t="s">
        <v>75</v>
      </c>
      <c r="S10" s="6" t="s">
        <v>76</v>
      </c>
      <c r="T10" s="6" t="s">
        <v>50</v>
      </c>
      <c r="U10" s="6">
        <v>4.46</v>
      </c>
      <c r="V10" s="6">
        <v>3</v>
      </c>
      <c r="W10" s="6">
        <v>0</v>
      </c>
      <c r="X10" s="7">
        <v>43490</v>
      </c>
      <c r="Y10" s="6">
        <v>0</v>
      </c>
      <c r="Z10" s="8">
        <v>4</v>
      </c>
      <c r="AA10" s="9">
        <f>DATEDIF(Table1[[#This Row],[DateofBirth]],"1-1-2020","y")</f>
        <v>49</v>
      </c>
      <c r="AB10" s="10" t="str" cm="1">
        <f t="array" ref="AB10">_xlfn.IFS(Table1[[#This Row],[age]]&lt; 20,"&lt;20",Table1[[#This Row],[age]]&lt; 30,"21-30",Table1[[#This Row],[age]]&lt; 40,"31-40", Table1[[#This Row],[age]]&lt; 50,"41-50",Table1[[#This Row],[age]]&lt; 60,"51-60",Table1[[#This Row],[age]]&lt;70,"60+")</f>
        <v>41-50</v>
      </c>
    </row>
    <row r="11" spans="1:28" ht="13.5" customHeight="1">
      <c r="A11" s="5" t="s">
        <v>77</v>
      </c>
      <c r="B11" s="6">
        <v>10250</v>
      </c>
      <c r="C11" s="6">
        <v>50178</v>
      </c>
      <c r="D11" s="6" t="s">
        <v>78</v>
      </c>
      <c r="E11" s="6" t="s">
        <v>30</v>
      </c>
      <c r="F11" s="6">
        <v>1886</v>
      </c>
      <c r="G11" s="7">
        <v>32325</v>
      </c>
      <c r="H11" s="6" t="s">
        <v>31</v>
      </c>
      <c r="I11" s="6" t="s">
        <v>59</v>
      </c>
      <c r="J11" s="6" t="s">
        <v>33</v>
      </c>
      <c r="K11" s="6" t="s">
        <v>34</v>
      </c>
      <c r="L11" s="6" t="s">
        <v>35</v>
      </c>
      <c r="M11" s="7">
        <v>42125</v>
      </c>
      <c r="N11" s="7">
        <v>32874</v>
      </c>
      <c r="O11" s="6" t="s">
        <v>36</v>
      </c>
      <c r="P11" s="6" t="s">
        <v>37</v>
      </c>
      <c r="Q11" s="6" t="s">
        <v>47</v>
      </c>
      <c r="R11" s="6" t="s">
        <v>79</v>
      </c>
      <c r="S11" s="6" t="s">
        <v>49</v>
      </c>
      <c r="T11" s="6" t="s">
        <v>50</v>
      </c>
      <c r="U11" s="6">
        <v>5</v>
      </c>
      <c r="V11" s="6">
        <v>5</v>
      </c>
      <c r="W11" s="6">
        <v>6</v>
      </c>
      <c r="X11" s="7">
        <v>43514</v>
      </c>
      <c r="Y11" s="6">
        <v>0</v>
      </c>
      <c r="Z11" s="8">
        <v>16</v>
      </c>
      <c r="AA11" s="9">
        <f>DATEDIF(Table1[[#This Row],[DateofBirth]],"1-1-2020","y")</f>
        <v>31</v>
      </c>
      <c r="AB11" s="10" t="str" cm="1">
        <f t="array" ref="AB11">_xlfn.IFS(Table1[[#This Row],[age]]&lt; 20,"&lt;20",Table1[[#This Row],[age]]&lt; 30,"21-30",Table1[[#This Row],[age]]&lt; 40,"31-40", Table1[[#This Row],[age]]&lt; 50,"41-50",Table1[[#This Row],[age]]&lt; 60,"51-60",Table1[[#This Row],[age]]&lt;70,"60+")</f>
        <v>31-40</v>
      </c>
    </row>
    <row r="12" spans="1:28" ht="13.5" customHeight="1">
      <c r="A12" s="5" t="s">
        <v>80</v>
      </c>
      <c r="B12" s="6">
        <v>10252</v>
      </c>
      <c r="C12" s="6">
        <v>54670</v>
      </c>
      <c r="D12" s="6" t="s">
        <v>29</v>
      </c>
      <c r="E12" s="6" t="s">
        <v>30</v>
      </c>
      <c r="F12" s="6">
        <v>1902</v>
      </c>
      <c r="G12" s="7">
        <v>27364</v>
      </c>
      <c r="H12" s="6" t="s">
        <v>53</v>
      </c>
      <c r="I12" s="6" t="s">
        <v>44</v>
      </c>
      <c r="J12" s="6" t="s">
        <v>33</v>
      </c>
      <c r="K12" s="6" t="s">
        <v>81</v>
      </c>
      <c r="L12" s="6" t="s">
        <v>74</v>
      </c>
      <c r="M12" s="7">
        <v>40817</v>
      </c>
      <c r="N12" s="7">
        <v>43070</v>
      </c>
      <c r="O12" s="6" t="s">
        <v>82</v>
      </c>
      <c r="P12" s="6" t="s">
        <v>46</v>
      </c>
      <c r="Q12" s="6" t="s">
        <v>38</v>
      </c>
      <c r="R12" s="6" t="s">
        <v>83</v>
      </c>
      <c r="S12" s="6" t="s">
        <v>76</v>
      </c>
      <c r="T12" s="6" t="s">
        <v>50</v>
      </c>
      <c r="U12" s="6">
        <v>4.2</v>
      </c>
      <c r="V12" s="6">
        <v>4</v>
      </c>
      <c r="W12" s="6">
        <v>0</v>
      </c>
      <c r="X12" s="7">
        <v>42399</v>
      </c>
      <c r="Y12" s="6">
        <v>0</v>
      </c>
      <c r="Z12" s="8">
        <v>12</v>
      </c>
      <c r="AA12" s="9">
        <f>DATEDIF(Table1[[#This Row],[DateofBirth]],"1-1-2020","y")</f>
        <v>45</v>
      </c>
      <c r="AB12" s="10" t="str" cm="1">
        <f t="array" ref="AB12">_xlfn.IFS(Table1[[#This Row],[age]]&lt; 20,"&lt;20",Table1[[#This Row],[age]]&lt; 30,"21-30",Table1[[#This Row],[age]]&lt; 40,"31-40", Table1[[#This Row],[age]]&lt; 50,"41-50",Table1[[#This Row],[age]]&lt; 60,"51-60",Table1[[#This Row],[age]]&lt;70,"60+")</f>
        <v>41-50</v>
      </c>
    </row>
    <row r="13" spans="1:28" ht="13.5" customHeight="1">
      <c r="A13" s="5" t="s">
        <v>84</v>
      </c>
      <c r="B13" s="6">
        <v>10242</v>
      </c>
      <c r="C13" s="6">
        <v>47211</v>
      </c>
      <c r="D13" s="6" t="s">
        <v>29</v>
      </c>
      <c r="E13" s="6" t="s">
        <v>30</v>
      </c>
      <c r="F13" s="6">
        <v>2062</v>
      </c>
      <c r="G13" s="7">
        <v>27081</v>
      </c>
      <c r="H13" s="6" t="s">
        <v>31</v>
      </c>
      <c r="I13" s="6" t="s">
        <v>44</v>
      </c>
      <c r="J13" s="6" t="s">
        <v>33</v>
      </c>
      <c r="K13" s="6" t="s">
        <v>81</v>
      </c>
      <c r="L13" s="6" t="s">
        <v>74</v>
      </c>
      <c r="M13" s="7">
        <v>40943</v>
      </c>
      <c r="N13" s="7">
        <v>42632</v>
      </c>
      <c r="O13" s="6" t="s">
        <v>85</v>
      </c>
      <c r="P13" s="6" t="s">
        <v>46</v>
      </c>
      <c r="Q13" s="6" t="s">
        <v>38</v>
      </c>
      <c r="R13" s="6" t="s">
        <v>55</v>
      </c>
      <c r="S13" s="6" t="s">
        <v>76</v>
      </c>
      <c r="T13" s="6" t="s">
        <v>50</v>
      </c>
      <c r="U13" s="6">
        <v>4.2</v>
      </c>
      <c r="V13" s="6">
        <v>3</v>
      </c>
      <c r="W13" s="6">
        <v>0</v>
      </c>
      <c r="X13" s="7">
        <v>42526</v>
      </c>
      <c r="Y13" s="6">
        <v>0</v>
      </c>
      <c r="Z13" s="8">
        <v>15</v>
      </c>
      <c r="AA13" s="9">
        <f>DATEDIF(Table1[[#This Row],[DateofBirth]],"1-1-2020","y")</f>
        <v>45</v>
      </c>
      <c r="AB13" s="10" t="str" cm="1">
        <f t="array" ref="AB13">_xlfn.IFS(Table1[[#This Row],[age]]&lt; 20,"&lt;20",Table1[[#This Row],[age]]&lt; 30,"21-30",Table1[[#This Row],[age]]&lt; 40,"31-40", Table1[[#This Row],[age]]&lt; 50,"41-50",Table1[[#This Row],[age]]&lt; 60,"51-60",Table1[[#This Row],[age]]&lt;70,"60+")</f>
        <v>41-50</v>
      </c>
    </row>
    <row r="14" spans="1:28" ht="13.5" customHeight="1">
      <c r="A14" s="5" t="s">
        <v>86</v>
      </c>
      <c r="B14" s="6">
        <v>10012</v>
      </c>
      <c r="C14" s="6">
        <v>92328</v>
      </c>
      <c r="D14" s="6" t="s">
        <v>87</v>
      </c>
      <c r="E14" s="6" t="s">
        <v>88</v>
      </c>
      <c r="F14" s="6">
        <v>78230</v>
      </c>
      <c r="G14" s="7">
        <v>32240</v>
      </c>
      <c r="H14" s="6" t="s">
        <v>31</v>
      </c>
      <c r="I14" s="6" t="s">
        <v>59</v>
      </c>
      <c r="J14" s="6" t="s">
        <v>33</v>
      </c>
      <c r="K14" s="6" t="s">
        <v>34</v>
      </c>
      <c r="L14" s="6" t="s">
        <v>74</v>
      </c>
      <c r="M14" s="7">
        <v>41923</v>
      </c>
      <c r="N14" s="7">
        <v>32874</v>
      </c>
      <c r="O14" s="6" t="s">
        <v>36</v>
      </c>
      <c r="P14" s="6" t="s">
        <v>37</v>
      </c>
      <c r="Q14" s="6" t="s">
        <v>47</v>
      </c>
      <c r="R14" s="6" t="s">
        <v>48</v>
      </c>
      <c r="S14" s="6" t="s">
        <v>76</v>
      </c>
      <c r="T14" s="6" t="s">
        <v>41</v>
      </c>
      <c r="U14" s="6">
        <v>4.28</v>
      </c>
      <c r="V14" s="6">
        <v>4</v>
      </c>
      <c r="W14" s="6">
        <v>5</v>
      </c>
      <c r="X14" s="7">
        <v>43521</v>
      </c>
      <c r="Y14" s="6">
        <v>0</v>
      </c>
      <c r="Z14" s="8">
        <v>9</v>
      </c>
      <c r="AA14" s="9">
        <f>DATEDIF(Table1[[#This Row],[DateofBirth]],"1-1-2020","y")</f>
        <v>31</v>
      </c>
      <c r="AB14" s="10" t="str" cm="1">
        <f t="array" ref="AB14">_xlfn.IFS(Table1[[#This Row],[age]]&lt; 20,"&lt;20",Table1[[#This Row],[age]]&lt; 30,"21-30",Table1[[#This Row],[age]]&lt; 40,"31-40", Table1[[#This Row],[age]]&lt; 50,"41-50",Table1[[#This Row],[age]]&lt; 60,"51-60",Table1[[#This Row],[age]]&lt;70,"60+")</f>
        <v>31-40</v>
      </c>
    </row>
    <row r="15" spans="1:28" ht="13.5" customHeight="1">
      <c r="A15" s="5" t="s">
        <v>89</v>
      </c>
      <c r="B15" s="6">
        <v>10265</v>
      </c>
      <c r="C15" s="6">
        <v>58709</v>
      </c>
      <c r="D15" s="6" t="s">
        <v>29</v>
      </c>
      <c r="E15" s="6" t="s">
        <v>30</v>
      </c>
      <c r="F15" s="6">
        <v>1810</v>
      </c>
      <c r="G15" s="7">
        <v>30517</v>
      </c>
      <c r="H15" s="6" t="s">
        <v>31</v>
      </c>
      <c r="I15" s="6" t="s">
        <v>32</v>
      </c>
      <c r="J15" s="6" t="s">
        <v>33</v>
      </c>
      <c r="K15" s="6" t="s">
        <v>34</v>
      </c>
      <c r="L15" s="6" t="s">
        <v>90</v>
      </c>
      <c r="M15" s="7">
        <v>40959</v>
      </c>
      <c r="N15" s="7">
        <v>32874</v>
      </c>
      <c r="O15" s="6" t="s">
        <v>36</v>
      </c>
      <c r="P15" s="6" t="s">
        <v>37</v>
      </c>
      <c r="Q15" s="6" t="s">
        <v>38</v>
      </c>
      <c r="R15" s="6" t="s">
        <v>91</v>
      </c>
      <c r="S15" s="6" t="s">
        <v>62</v>
      </c>
      <c r="T15" s="6" t="s">
        <v>50</v>
      </c>
      <c r="U15" s="6">
        <v>4.5999999999999996</v>
      </c>
      <c r="V15" s="6">
        <v>4</v>
      </c>
      <c r="W15" s="6">
        <v>0</v>
      </c>
      <c r="X15" s="7">
        <v>43510</v>
      </c>
      <c r="Y15" s="6">
        <v>0</v>
      </c>
      <c r="Z15" s="8">
        <v>7</v>
      </c>
      <c r="AA15" s="9">
        <f>DATEDIF(Table1[[#This Row],[DateofBirth]],"1-1-2020","y")</f>
        <v>36</v>
      </c>
      <c r="AB15" s="10" t="str" cm="1">
        <f t="array" ref="AB15">_xlfn.IFS(Table1[[#This Row],[age]]&lt; 20,"&lt;20",Table1[[#This Row],[age]]&lt; 30,"21-30",Table1[[#This Row],[age]]&lt; 40,"31-40", Table1[[#This Row],[age]]&lt; 50,"41-50",Table1[[#This Row],[age]]&lt; 60,"51-60",Table1[[#This Row],[age]]&lt;70,"60+")</f>
        <v>31-40</v>
      </c>
    </row>
    <row r="16" spans="1:28" ht="13.5" customHeight="1">
      <c r="A16" s="5" t="s">
        <v>92</v>
      </c>
      <c r="B16" s="6">
        <v>10066</v>
      </c>
      <c r="C16" s="6">
        <v>52505</v>
      </c>
      <c r="D16" s="6" t="s">
        <v>29</v>
      </c>
      <c r="E16" s="6" t="s">
        <v>30</v>
      </c>
      <c r="F16" s="6">
        <v>2747</v>
      </c>
      <c r="G16" s="7">
        <v>28321</v>
      </c>
      <c r="H16" s="6" t="s">
        <v>31</v>
      </c>
      <c r="I16" s="6" t="s">
        <v>59</v>
      </c>
      <c r="J16" s="6" t="s">
        <v>33</v>
      </c>
      <c r="K16" s="6" t="s">
        <v>34</v>
      </c>
      <c r="L16" s="6" t="s">
        <v>35</v>
      </c>
      <c r="M16" s="7">
        <v>41176</v>
      </c>
      <c r="N16" s="7">
        <v>42890</v>
      </c>
      <c r="O16" s="6" t="s">
        <v>82</v>
      </c>
      <c r="P16" s="6" t="s">
        <v>46</v>
      </c>
      <c r="Q16" s="6" t="s">
        <v>38</v>
      </c>
      <c r="R16" s="6" t="s">
        <v>39</v>
      </c>
      <c r="S16" s="6" t="s">
        <v>93</v>
      </c>
      <c r="T16" s="6" t="s">
        <v>50</v>
      </c>
      <c r="U16" s="6">
        <v>5</v>
      </c>
      <c r="V16" s="6">
        <v>5</v>
      </c>
      <c r="W16" s="6">
        <v>0</v>
      </c>
      <c r="X16" s="7">
        <v>42769</v>
      </c>
      <c r="Y16" s="6">
        <v>0</v>
      </c>
      <c r="Z16" s="8">
        <v>1</v>
      </c>
      <c r="AA16" s="9">
        <f>DATEDIF(Table1[[#This Row],[DateofBirth]],"1-1-2020","y")</f>
        <v>42</v>
      </c>
      <c r="AB16" s="10" t="str" cm="1">
        <f t="array" ref="AB16">_xlfn.IFS(Table1[[#This Row],[age]]&lt; 20,"&lt;20",Table1[[#This Row],[age]]&lt; 30,"21-30",Table1[[#This Row],[age]]&lt; 40,"31-40", Table1[[#This Row],[age]]&lt; 50,"41-50",Table1[[#This Row],[age]]&lt; 60,"51-60",Table1[[#This Row],[age]]&lt;70,"60+")</f>
        <v>41-50</v>
      </c>
    </row>
    <row r="17" spans="1:28" ht="13.5" customHeight="1">
      <c r="A17" s="5" t="s">
        <v>94</v>
      </c>
      <c r="B17" s="6">
        <v>10061</v>
      </c>
      <c r="C17" s="6">
        <v>57834</v>
      </c>
      <c r="D17" s="6" t="s">
        <v>29</v>
      </c>
      <c r="E17" s="6" t="s">
        <v>30</v>
      </c>
      <c r="F17" s="6">
        <v>2050</v>
      </c>
      <c r="G17" s="7">
        <v>29877</v>
      </c>
      <c r="H17" s="6" t="s">
        <v>31</v>
      </c>
      <c r="I17" s="6" t="s">
        <v>32</v>
      </c>
      <c r="J17" s="6" t="s">
        <v>33</v>
      </c>
      <c r="K17" s="6" t="s">
        <v>34</v>
      </c>
      <c r="L17" s="6" t="s">
        <v>35</v>
      </c>
      <c r="M17" s="7">
        <v>40595</v>
      </c>
      <c r="N17" s="7">
        <v>42833</v>
      </c>
      <c r="O17" s="6" t="s">
        <v>95</v>
      </c>
      <c r="P17" s="6" t="s">
        <v>96</v>
      </c>
      <c r="Q17" s="6" t="s">
        <v>38</v>
      </c>
      <c r="R17" s="6" t="s">
        <v>91</v>
      </c>
      <c r="S17" s="6" t="s">
        <v>62</v>
      </c>
      <c r="T17" s="6" t="s">
        <v>50</v>
      </c>
      <c r="U17" s="6">
        <v>5</v>
      </c>
      <c r="V17" s="6">
        <v>4</v>
      </c>
      <c r="W17" s="6">
        <v>0</v>
      </c>
      <c r="X17" s="7">
        <v>42859</v>
      </c>
      <c r="Y17" s="6">
        <v>0</v>
      </c>
      <c r="Z17" s="8">
        <v>20</v>
      </c>
      <c r="AA17" s="9">
        <f>DATEDIF(Table1[[#This Row],[DateofBirth]],"1-1-2020","y")</f>
        <v>38</v>
      </c>
      <c r="AB17" s="10" t="str" cm="1">
        <f t="array" ref="AB17">_xlfn.IFS(Table1[[#This Row],[age]]&lt; 20,"&lt;20",Table1[[#This Row],[age]]&lt; 30,"21-30",Table1[[#This Row],[age]]&lt; 40,"31-40", Table1[[#This Row],[age]]&lt; 50,"41-50",Table1[[#This Row],[age]]&lt; 60,"51-60",Table1[[#This Row],[age]]&lt;70,"60+")</f>
        <v>31-40</v>
      </c>
    </row>
    <row r="18" spans="1:28" ht="13.5" customHeight="1">
      <c r="A18" s="5" t="s">
        <v>97</v>
      </c>
      <c r="B18" s="6">
        <v>10023</v>
      </c>
      <c r="C18" s="6">
        <v>70131</v>
      </c>
      <c r="D18" s="6" t="s">
        <v>52</v>
      </c>
      <c r="E18" s="6" t="s">
        <v>30</v>
      </c>
      <c r="F18" s="6">
        <v>2145</v>
      </c>
      <c r="G18" s="7">
        <v>24214</v>
      </c>
      <c r="H18" s="6" t="s">
        <v>53</v>
      </c>
      <c r="I18" s="6" t="s">
        <v>44</v>
      </c>
      <c r="J18" s="6" t="s">
        <v>33</v>
      </c>
      <c r="K18" s="6" t="s">
        <v>34</v>
      </c>
      <c r="L18" s="6" t="s">
        <v>35</v>
      </c>
      <c r="M18" s="7">
        <v>42572</v>
      </c>
      <c r="N18" s="7">
        <v>32874</v>
      </c>
      <c r="O18" s="6" t="s">
        <v>36</v>
      </c>
      <c r="P18" s="6" t="s">
        <v>37</v>
      </c>
      <c r="Q18" s="6" t="s">
        <v>38</v>
      </c>
      <c r="R18" s="6" t="s">
        <v>91</v>
      </c>
      <c r="S18" s="6" t="s">
        <v>72</v>
      </c>
      <c r="T18" s="6" t="s">
        <v>41</v>
      </c>
      <c r="U18" s="6">
        <v>4.4000000000000004</v>
      </c>
      <c r="V18" s="6">
        <v>3</v>
      </c>
      <c r="W18" s="6">
        <v>0</v>
      </c>
      <c r="X18" s="7">
        <v>43479</v>
      </c>
      <c r="Y18" s="6">
        <v>0</v>
      </c>
      <c r="Z18" s="8">
        <v>16</v>
      </c>
      <c r="AA18" s="9">
        <f>DATEDIF(Table1[[#This Row],[DateofBirth]],"1-1-2020","y")</f>
        <v>53</v>
      </c>
      <c r="AB18" s="10" t="str" cm="1">
        <f t="array" ref="AB18">_xlfn.IFS(Table1[[#This Row],[age]]&lt; 20,"&lt;20",Table1[[#This Row],[age]]&lt; 30,"21-30",Table1[[#This Row],[age]]&lt; 40,"31-40", Table1[[#This Row],[age]]&lt; 50,"41-50",Table1[[#This Row],[age]]&lt; 60,"51-60",Table1[[#This Row],[age]]&lt;70,"60+")</f>
        <v>51-60</v>
      </c>
    </row>
    <row r="19" spans="1:28" ht="13.5" customHeight="1">
      <c r="A19" s="5" t="s">
        <v>98</v>
      </c>
      <c r="B19" s="6">
        <v>10055</v>
      </c>
      <c r="C19" s="6">
        <v>59026</v>
      </c>
      <c r="D19" s="6" t="s">
        <v>29</v>
      </c>
      <c r="E19" s="6" t="s">
        <v>30</v>
      </c>
      <c r="F19" s="6">
        <v>1915</v>
      </c>
      <c r="G19" s="7">
        <v>25868</v>
      </c>
      <c r="H19" s="6" t="s">
        <v>53</v>
      </c>
      <c r="I19" s="6" t="s">
        <v>32</v>
      </c>
      <c r="J19" s="6" t="s">
        <v>99</v>
      </c>
      <c r="K19" s="6" t="s">
        <v>34</v>
      </c>
      <c r="L19" s="6" t="s">
        <v>35</v>
      </c>
      <c r="M19" s="7">
        <v>40637</v>
      </c>
      <c r="N19" s="7">
        <v>32874</v>
      </c>
      <c r="O19" s="6" t="s">
        <v>36</v>
      </c>
      <c r="P19" s="6" t="s">
        <v>37</v>
      </c>
      <c r="Q19" s="6" t="s">
        <v>38</v>
      </c>
      <c r="R19" s="6" t="s">
        <v>57</v>
      </c>
      <c r="S19" s="6" t="s">
        <v>62</v>
      </c>
      <c r="T19" s="6" t="s">
        <v>50</v>
      </c>
      <c r="U19" s="6">
        <v>5</v>
      </c>
      <c r="V19" s="6">
        <v>5</v>
      </c>
      <c r="W19" s="6">
        <v>0</v>
      </c>
      <c r="X19" s="7">
        <v>43479</v>
      </c>
      <c r="Y19" s="6">
        <v>0</v>
      </c>
      <c r="Z19" s="8">
        <v>12</v>
      </c>
      <c r="AA19" s="9">
        <f>DATEDIF(Table1[[#This Row],[DateofBirth]],"1-1-2020","y")</f>
        <v>49</v>
      </c>
      <c r="AB19" s="10" t="str" cm="1">
        <f t="array" ref="AB19">_xlfn.IFS(Table1[[#This Row],[age]]&lt; 20,"&lt;20",Table1[[#This Row],[age]]&lt; 30,"21-30",Table1[[#This Row],[age]]&lt; 40,"31-40", Table1[[#This Row],[age]]&lt; 50,"41-50",Table1[[#This Row],[age]]&lt; 60,"51-60",Table1[[#This Row],[age]]&lt;70,"60+")</f>
        <v>41-50</v>
      </c>
    </row>
    <row r="20" spans="1:28" ht="13.5" customHeight="1">
      <c r="A20" s="5" t="s">
        <v>100</v>
      </c>
      <c r="B20" s="6">
        <v>10245</v>
      </c>
      <c r="C20" s="6">
        <v>110000</v>
      </c>
      <c r="D20" s="6" t="s">
        <v>101</v>
      </c>
      <c r="E20" s="6" t="s">
        <v>30</v>
      </c>
      <c r="F20" s="6">
        <v>2026</v>
      </c>
      <c r="G20" s="7">
        <v>31506</v>
      </c>
      <c r="H20" s="6" t="s">
        <v>53</v>
      </c>
      <c r="I20" s="6" t="s">
        <v>32</v>
      </c>
      <c r="J20" s="6" t="s">
        <v>33</v>
      </c>
      <c r="K20" s="6" t="s">
        <v>81</v>
      </c>
      <c r="L20" s="6" t="s">
        <v>35</v>
      </c>
      <c r="M20" s="7">
        <v>41827</v>
      </c>
      <c r="N20" s="7">
        <v>42347</v>
      </c>
      <c r="O20" s="6" t="s">
        <v>102</v>
      </c>
      <c r="P20" s="6" t="s">
        <v>96</v>
      </c>
      <c r="Q20" s="6" t="s">
        <v>47</v>
      </c>
      <c r="R20" s="6" t="s">
        <v>48</v>
      </c>
      <c r="S20" s="6" t="s">
        <v>62</v>
      </c>
      <c r="T20" s="6" t="s">
        <v>50</v>
      </c>
      <c r="U20" s="6">
        <v>4.5</v>
      </c>
      <c r="V20" s="6">
        <v>4</v>
      </c>
      <c r="W20" s="6">
        <v>5</v>
      </c>
      <c r="X20" s="7">
        <v>42019</v>
      </c>
      <c r="Y20" s="6">
        <v>0</v>
      </c>
      <c r="Z20" s="8">
        <v>8</v>
      </c>
      <c r="AA20" s="9">
        <f>DATEDIF(Table1[[#This Row],[DateofBirth]],"1-1-2020","y")</f>
        <v>33</v>
      </c>
      <c r="AB20" s="10" t="str" cm="1">
        <f t="array" ref="AB20">_xlfn.IFS(Table1[[#This Row],[age]]&lt; 20,"&lt;20",Table1[[#This Row],[age]]&lt; 30,"21-30",Table1[[#This Row],[age]]&lt; 40,"31-40", Table1[[#This Row],[age]]&lt; 50,"41-50",Table1[[#This Row],[age]]&lt; 60,"51-60",Table1[[#This Row],[age]]&lt;70,"60+")</f>
        <v>31-40</v>
      </c>
    </row>
    <row r="21" spans="1:28" ht="13.5" customHeight="1">
      <c r="A21" s="5" t="s">
        <v>103</v>
      </c>
      <c r="B21" s="6">
        <v>10277</v>
      </c>
      <c r="C21" s="6">
        <v>53250</v>
      </c>
      <c r="D21" s="6" t="s">
        <v>29</v>
      </c>
      <c r="E21" s="6" t="s">
        <v>30</v>
      </c>
      <c r="F21" s="6">
        <v>2452</v>
      </c>
      <c r="G21" s="7">
        <v>29010</v>
      </c>
      <c r="H21" s="6" t="s">
        <v>31</v>
      </c>
      <c r="I21" s="6" t="s">
        <v>32</v>
      </c>
      <c r="J21" s="6" t="s">
        <v>33</v>
      </c>
      <c r="K21" s="6" t="s">
        <v>34</v>
      </c>
      <c r="L21" s="6" t="s">
        <v>104</v>
      </c>
      <c r="M21" s="7">
        <v>41493</v>
      </c>
      <c r="N21" s="7">
        <v>32874</v>
      </c>
      <c r="O21" s="6" t="s">
        <v>36</v>
      </c>
      <c r="P21" s="6" t="s">
        <v>37</v>
      </c>
      <c r="Q21" s="6" t="s">
        <v>38</v>
      </c>
      <c r="R21" s="6" t="s">
        <v>61</v>
      </c>
      <c r="S21" s="6" t="s">
        <v>40</v>
      </c>
      <c r="T21" s="6" t="s">
        <v>50</v>
      </c>
      <c r="U21" s="6">
        <v>4.2</v>
      </c>
      <c r="V21" s="6">
        <v>4</v>
      </c>
      <c r="W21" s="6">
        <v>0</v>
      </c>
      <c r="X21" s="7">
        <v>43770</v>
      </c>
      <c r="Y21" s="6">
        <v>0</v>
      </c>
      <c r="Z21" s="8">
        <v>13</v>
      </c>
      <c r="AA21" s="9">
        <f>DATEDIF(Table1[[#This Row],[DateofBirth]],"1-1-2020","y")</f>
        <v>40</v>
      </c>
      <c r="AB21" s="10" t="str" cm="1">
        <f t="array" ref="AB21">_xlfn.IFS(Table1[[#This Row],[age]]&lt; 20,"&lt;20",Table1[[#This Row],[age]]&lt; 30,"21-30",Table1[[#This Row],[age]]&lt; 40,"31-40", Table1[[#This Row],[age]]&lt; 50,"41-50",Table1[[#This Row],[age]]&lt; 60,"51-60",Table1[[#This Row],[age]]&lt;70,"60+")</f>
        <v>41-50</v>
      </c>
    </row>
    <row r="22" spans="1:28" ht="13.5" customHeight="1">
      <c r="A22" s="5" t="s">
        <v>105</v>
      </c>
      <c r="B22" s="6">
        <v>10046</v>
      </c>
      <c r="C22" s="6">
        <v>51044</v>
      </c>
      <c r="D22" s="6" t="s">
        <v>29</v>
      </c>
      <c r="E22" s="6" t="s">
        <v>30</v>
      </c>
      <c r="F22" s="6">
        <v>2072</v>
      </c>
      <c r="G22" s="7">
        <v>25924</v>
      </c>
      <c r="H22" s="6" t="s">
        <v>31</v>
      </c>
      <c r="I22" s="6" t="s">
        <v>32</v>
      </c>
      <c r="J22" s="6" t="s">
        <v>33</v>
      </c>
      <c r="K22" s="6" t="s">
        <v>81</v>
      </c>
      <c r="L22" s="6" t="s">
        <v>35</v>
      </c>
      <c r="M22" s="7">
        <v>40943</v>
      </c>
      <c r="N22" s="7">
        <v>32874</v>
      </c>
      <c r="O22" s="6" t="s">
        <v>36</v>
      </c>
      <c r="P22" s="6" t="s">
        <v>37</v>
      </c>
      <c r="Q22" s="6" t="s">
        <v>38</v>
      </c>
      <c r="R22" s="6" t="s">
        <v>64</v>
      </c>
      <c r="S22" s="6" t="s">
        <v>62</v>
      </c>
      <c r="T22" s="6" t="s">
        <v>50</v>
      </c>
      <c r="U22" s="6">
        <v>5</v>
      </c>
      <c r="V22" s="6">
        <v>3</v>
      </c>
      <c r="W22" s="6">
        <v>0</v>
      </c>
      <c r="X22" s="7">
        <v>43479</v>
      </c>
      <c r="Y22" s="6">
        <v>0</v>
      </c>
      <c r="Z22" s="8">
        <v>13</v>
      </c>
      <c r="AA22" s="9">
        <f>DATEDIF(Table1[[#This Row],[DateofBirth]],"1-1-2020","y")</f>
        <v>49</v>
      </c>
      <c r="AB22" s="10" t="str" cm="1">
        <f t="array" ref="AB22">_xlfn.IFS(Table1[[#This Row],[age]]&lt; 20,"&lt;20",Table1[[#This Row],[age]]&lt; 30,"21-30",Table1[[#This Row],[age]]&lt; 40,"31-40", Table1[[#This Row],[age]]&lt; 50,"41-50",Table1[[#This Row],[age]]&lt; 60,"51-60",Table1[[#This Row],[age]]&lt;70,"60+")</f>
        <v>41-50</v>
      </c>
    </row>
    <row r="23" spans="1:28" ht="13.5" customHeight="1">
      <c r="A23" s="5" t="s">
        <v>106</v>
      </c>
      <c r="B23" s="6">
        <v>10226</v>
      </c>
      <c r="C23" s="6">
        <v>64919</v>
      </c>
      <c r="D23" s="6" t="s">
        <v>29</v>
      </c>
      <c r="E23" s="6" t="s">
        <v>30</v>
      </c>
      <c r="F23" s="6">
        <v>2027</v>
      </c>
      <c r="G23" s="7">
        <v>21546</v>
      </c>
      <c r="H23" s="6" t="s">
        <v>53</v>
      </c>
      <c r="I23" s="6" t="s">
        <v>59</v>
      </c>
      <c r="J23" s="6" t="s">
        <v>33</v>
      </c>
      <c r="K23" s="6" t="s">
        <v>34</v>
      </c>
      <c r="L23" s="6" t="s">
        <v>104</v>
      </c>
      <c r="M23" s="7">
        <v>41505</v>
      </c>
      <c r="N23" s="7">
        <v>32874</v>
      </c>
      <c r="O23" s="6" t="s">
        <v>36</v>
      </c>
      <c r="P23" s="6" t="s">
        <v>37</v>
      </c>
      <c r="Q23" s="6" t="s">
        <v>38</v>
      </c>
      <c r="R23" s="6" t="s">
        <v>71</v>
      </c>
      <c r="S23" s="6" t="s">
        <v>49</v>
      </c>
      <c r="T23" s="6" t="s">
        <v>50</v>
      </c>
      <c r="U23" s="6">
        <v>4.2</v>
      </c>
      <c r="V23" s="6">
        <v>3</v>
      </c>
      <c r="W23" s="6">
        <v>0</v>
      </c>
      <c r="X23" s="7">
        <v>43739</v>
      </c>
      <c r="Y23" s="6">
        <v>0</v>
      </c>
      <c r="Z23" s="8">
        <v>2</v>
      </c>
      <c r="AA23" s="9">
        <f>DATEDIF(Table1[[#This Row],[DateofBirth]],"1-1-2020","y")</f>
        <v>61</v>
      </c>
      <c r="AB23" s="10" t="str" cm="1">
        <f t="array" ref="AB23">_xlfn.IFS(Table1[[#This Row],[age]]&lt; 20,"&lt;20",Table1[[#This Row],[age]]&lt; 30,"21-30",Table1[[#This Row],[age]]&lt; 40,"31-40", Table1[[#This Row],[age]]&lt; 50,"41-50",Table1[[#This Row],[age]]&lt; 60,"51-60",Table1[[#This Row],[age]]&lt;70,"60+")</f>
        <v>60+</v>
      </c>
    </row>
    <row r="24" spans="1:28" ht="13.5" customHeight="1">
      <c r="A24" s="5" t="s">
        <v>107</v>
      </c>
      <c r="B24" s="6">
        <v>10003</v>
      </c>
      <c r="C24" s="6">
        <v>62910</v>
      </c>
      <c r="D24" s="6" t="s">
        <v>29</v>
      </c>
      <c r="E24" s="6" t="s">
        <v>30</v>
      </c>
      <c r="F24" s="6">
        <v>2031</v>
      </c>
      <c r="G24" s="7">
        <v>32517</v>
      </c>
      <c r="H24" s="6" t="s">
        <v>53</v>
      </c>
      <c r="I24" s="6" t="s">
        <v>44</v>
      </c>
      <c r="J24" s="6" t="s">
        <v>33</v>
      </c>
      <c r="K24" s="6" t="s">
        <v>34</v>
      </c>
      <c r="L24" s="6" t="s">
        <v>35</v>
      </c>
      <c r="M24" s="7">
        <v>41827</v>
      </c>
      <c r="N24" s="7">
        <v>32874</v>
      </c>
      <c r="O24" s="6" t="s">
        <v>36</v>
      </c>
      <c r="P24" s="6" t="s">
        <v>37</v>
      </c>
      <c r="Q24" s="6" t="s">
        <v>38</v>
      </c>
      <c r="R24" s="6" t="s">
        <v>75</v>
      </c>
      <c r="S24" s="6" t="s">
        <v>49</v>
      </c>
      <c r="T24" s="6" t="s">
        <v>41</v>
      </c>
      <c r="U24" s="6">
        <v>5</v>
      </c>
      <c r="V24" s="6">
        <v>3</v>
      </c>
      <c r="W24" s="6">
        <v>0</v>
      </c>
      <c r="X24" s="7">
        <v>43523</v>
      </c>
      <c r="Y24" s="6">
        <v>0</v>
      </c>
      <c r="Z24" s="8">
        <v>19</v>
      </c>
      <c r="AA24" s="9">
        <f>DATEDIF(Table1[[#This Row],[DateofBirth]],"1-1-2020","y")</f>
        <v>30</v>
      </c>
      <c r="AB24" s="10" t="str" cm="1">
        <f t="array" ref="AB24">_xlfn.IFS(Table1[[#This Row],[age]]&lt; 20,"&lt;20",Table1[[#This Row],[age]]&lt; 30,"21-30",Table1[[#This Row],[age]]&lt; 40,"31-40", Table1[[#This Row],[age]]&lt; 50,"41-50",Table1[[#This Row],[age]]&lt; 60,"51-60",Table1[[#This Row],[age]]&lt;70,"60+")</f>
        <v>31-40</v>
      </c>
    </row>
    <row r="25" spans="1:28" ht="13.5" customHeight="1">
      <c r="A25" s="5" t="s">
        <v>108</v>
      </c>
      <c r="B25" s="6">
        <v>10294</v>
      </c>
      <c r="C25" s="6">
        <v>66441</v>
      </c>
      <c r="D25" s="6" t="s">
        <v>52</v>
      </c>
      <c r="E25" s="6" t="s">
        <v>30</v>
      </c>
      <c r="F25" s="6">
        <v>2171</v>
      </c>
      <c r="G25" s="7">
        <v>33137</v>
      </c>
      <c r="H25" s="6" t="s">
        <v>53</v>
      </c>
      <c r="I25" s="6" t="s">
        <v>32</v>
      </c>
      <c r="J25" s="6" t="s">
        <v>33</v>
      </c>
      <c r="K25" s="6" t="s">
        <v>34</v>
      </c>
      <c r="L25" s="6" t="s">
        <v>35</v>
      </c>
      <c r="M25" s="7">
        <v>40637</v>
      </c>
      <c r="N25" s="7">
        <v>32874</v>
      </c>
      <c r="O25" s="6" t="s">
        <v>36</v>
      </c>
      <c r="P25" s="6" t="s">
        <v>37</v>
      </c>
      <c r="Q25" s="6" t="s">
        <v>38</v>
      </c>
      <c r="R25" s="6" t="s">
        <v>39</v>
      </c>
      <c r="S25" s="6" t="s">
        <v>109</v>
      </c>
      <c r="T25" s="6" t="s">
        <v>110</v>
      </c>
      <c r="U25" s="6">
        <v>2</v>
      </c>
      <c r="V25" s="6">
        <v>3</v>
      </c>
      <c r="W25" s="6">
        <v>0</v>
      </c>
      <c r="X25" s="7">
        <v>43523</v>
      </c>
      <c r="Y25" s="6">
        <v>2</v>
      </c>
      <c r="Z25" s="8">
        <v>3</v>
      </c>
      <c r="AA25" s="9">
        <f>DATEDIF(Table1[[#This Row],[DateofBirth]],"1-1-2020","y")</f>
        <v>29</v>
      </c>
      <c r="AB25" s="10" t="str" cm="1">
        <f t="array" ref="AB25">_xlfn.IFS(Table1[[#This Row],[age]]&lt; 20,"&lt;20",Table1[[#This Row],[age]]&lt; 30,"21-30",Table1[[#This Row],[age]]&lt; 40,"31-40", Table1[[#This Row],[age]]&lt; 50,"41-50",Table1[[#This Row],[age]]&lt; 60,"51-60",Table1[[#This Row],[age]]&lt;70,"60+")</f>
        <v>21-30</v>
      </c>
    </row>
    <row r="26" spans="1:28" ht="13.5" customHeight="1">
      <c r="A26" s="5" t="s">
        <v>111</v>
      </c>
      <c r="B26" s="6">
        <v>10267</v>
      </c>
      <c r="C26" s="6">
        <v>57815</v>
      </c>
      <c r="D26" s="6" t="s">
        <v>52</v>
      </c>
      <c r="E26" s="6" t="s">
        <v>30</v>
      </c>
      <c r="F26" s="6">
        <v>2210</v>
      </c>
      <c r="G26" s="7">
        <v>24488</v>
      </c>
      <c r="H26" s="6" t="s">
        <v>53</v>
      </c>
      <c r="I26" s="6" t="s">
        <v>32</v>
      </c>
      <c r="J26" s="6" t="s">
        <v>33</v>
      </c>
      <c r="K26" s="6" t="s">
        <v>34</v>
      </c>
      <c r="L26" s="6" t="s">
        <v>35</v>
      </c>
      <c r="M26" s="7">
        <v>40817</v>
      </c>
      <c r="N26" s="7">
        <v>41733</v>
      </c>
      <c r="O26" s="6" t="s">
        <v>45</v>
      </c>
      <c r="P26" s="6" t="s">
        <v>46</v>
      </c>
      <c r="Q26" s="6" t="s">
        <v>38</v>
      </c>
      <c r="R26" s="6" t="s">
        <v>57</v>
      </c>
      <c r="S26" s="6" t="s">
        <v>62</v>
      </c>
      <c r="T26" s="6" t="s">
        <v>50</v>
      </c>
      <c r="U26" s="6">
        <v>4.8</v>
      </c>
      <c r="V26" s="6">
        <v>5</v>
      </c>
      <c r="W26" s="6">
        <v>0</v>
      </c>
      <c r="X26" s="7">
        <v>41732</v>
      </c>
      <c r="Y26" s="6">
        <v>0</v>
      </c>
      <c r="Z26" s="8">
        <v>5</v>
      </c>
      <c r="AA26" s="9">
        <f>DATEDIF(Table1[[#This Row],[DateofBirth]],"1-1-2020","y")</f>
        <v>52</v>
      </c>
      <c r="AB26" s="10" t="str" cm="1">
        <f t="array" ref="AB26">_xlfn.IFS(Table1[[#This Row],[age]]&lt; 20,"&lt;20",Table1[[#This Row],[age]]&lt; 30,"21-30",Table1[[#This Row],[age]]&lt; 40,"31-40", Table1[[#This Row],[age]]&lt; 50,"41-50",Table1[[#This Row],[age]]&lt; 60,"51-60",Table1[[#This Row],[age]]&lt;70,"60+")</f>
        <v>51-60</v>
      </c>
    </row>
    <row r="27" spans="1:28" ht="13.5" customHeight="1">
      <c r="A27" s="5" t="s">
        <v>112</v>
      </c>
      <c r="B27" s="6">
        <v>10199</v>
      </c>
      <c r="C27" s="6">
        <v>103613</v>
      </c>
      <c r="D27" s="6" t="s">
        <v>113</v>
      </c>
      <c r="E27" s="6" t="s">
        <v>114</v>
      </c>
      <c r="F27" s="6">
        <v>6033</v>
      </c>
      <c r="G27" s="7">
        <v>23588</v>
      </c>
      <c r="H27" s="6" t="s">
        <v>31</v>
      </c>
      <c r="I27" s="6" t="s">
        <v>32</v>
      </c>
      <c r="J27" s="6" t="s">
        <v>33</v>
      </c>
      <c r="K27" s="6" t="s">
        <v>34</v>
      </c>
      <c r="L27" s="6" t="s">
        <v>74</v>
      </c>
      <c r="M27" s="7">
        <v>41687</v>
      </c>
      <c r="N27" s="7">
        <v>42419</v>
      </c>
      <c r="O27" s="6" t="s">
        <v>115</v>
      </c>
      <c r="P27" s="6" t="s">
        <v>96</v>
      </c>
      <c r="Q27" s="6" t="s">
        <v>47</v>
      </c>
      <c r="R27" s="6" t="s">
        <v>48</v>
      </c>
      <c r="S27" s="6" t="s">
        <v>40</v>
      </c>
      <c r="T27" s="6" t="s">
        <v>50</v>
      </c>
      <c r="U27" s="6">
        <v>3.5</v>
      </c>
      <c r="V27" s="6">
        <v>5</v>
      </c>
      <c r="W27" s="6">
        <v>7</v>
      </c>
      <c r="X27" s="7">
        <v>42644</v>
      </c>
      <c r="Y27" s="6">
        <v>0</v>
      </c>
      <c r="Z27" s="8">
        <v>2</v>
      </c>
      <c r="AA27" s="9">
        <f>DATEDIF(Table1[[#This Row],[DateofBirth]],"1-1-2020","y")</f>
        <v>55</v>
      </c>
      <c r="AB27" s="10" t="str" cm="1">
        <f t="array" ref="AB27">_xlfn.IFS(Table1[[#This Row],[age]]&lt; 20,"&lt;20",Table1[[#This Row],[age]]&lt; 30,"21-30",Table1[[#This Row],[age]]&lt; 40,"31-40", Table1[[#This Row],[age]]&lt; 50,"41-50",Table1[[#This Row],[age]]&lt; 60,"51-60",Table1[[#This Row],[age]]&lt;70,"60+")</f>
        <v>51-60</v>
      </c>
    </row>
    <row r="28" spans="1:28" ht="13.5" customHeight="1">
      <c r="A28" s="5" t="s">
        <v>116</v>
      </c>
      <c r="B28" s="6">
        <v>10081</v>
      </c>
      <c r="C28" s="6">
        <v>106367</v>
      </c>
      <c r="D28" s="6" t="s">
        <v>117</v>
      </c>
      <c r="E28" s="6" t="s">
        <v>30</v>
      </c>
      <c r="F28" s="6">
        <v>2468</v>
      </c>
      <c r="G28" s="7">
        <v>31871</v>
      </c>
      <c r="H28" s="6" t="s">
        <v>53</v>
      </c>
      <c r="I28" s="6" t="s">
        <v>44</v>
      </c>
      <c r="J28" s="6" t="s">
        <v>33</v>
      </c>
      <c r="K28" s="6" t="s">
        <v>34</v>
      </c>
      <c r="L28" s="6" t="s">
        <v>74</v>
      </c>
      <c r="M28" s="7">
        <v>42051</v>
      </c>
      <c r="N28" s="7">
        <v>32874</v>
      </c>
      <c r="O28" s="6" t="s">
        <v>36</v>
      </c>
      <c r="P28" s="6" t="s">
        <v>37</v>
      </c>
      <c r="Q28" s="6" t="s">
        <v>118</v>
      </c>
      <c r="R28" s="6" t="s">
        <v>119</v>
      </c>
      <c r="S28" s="6" t="s">
        <v>76</v>
      </c>
      <c r="T28" s="6" t="s">
        <v>50</v>
      </c>
      <c r="U28" s="6">
        <v>5</v>
      </c>
      <c r="V28" s="6">
        <v>4</v>
      </c>
      <c r="W28" s="6">
        <v>3</v>
      </c>
      <c r="X28" s="7">
        <v>43514</v>
      </c>
      <c r="Y28" s="6">
        <v>0</v>
      </c>
      <c r="Z28" s="8">
        <v>4</v>
      </c>
      <c r="AA28" s="9">
        <f>DATEDIF(Table1[[#This Row],[DateofBirth]],"1-1-2020","y")</f>
        <v>32</v>
      </c>
      <c r="AB28" s="10" t="str" cm="1">
        <f t="array" ref="AB28">_xlfn.IFS(Table1[[#This Row],[age]]&lt; 20,"&lt;20",Table1[[#This Row],[age]]&lt; 30,"21-30",Table1[[#This Row],[age]]&lt; 40,"31-40", Table1[[#This Row],[age]]&lt; 50,"41-50",Table1[[#This Row],[age]]&lt; 60,"51-60",Table1[[#This Row],[age]]&lt;70,"60+")</f>
        <v>31-40</v>
      </c>
    </row>
    <row r="29" spans="1:28" ht="13.5" customHeight="1">
      <c r="A29" s="5" t="s">
        <v>120</v>
      </c>
      <c r="B29" s="6">
        <v>10175</v>
      </c>
      <c r="C29" s="6">
        <v>74312</v>
      </c>
      <c r="D29" s="6" t="s">
        <v>121</v>
      </c>
      <c r="E29" s="6" t="s">
        <v>30</v>
      </c>
      <c r="F29" s="6">
        <v>1901</v>
      </c>
      <c r="G29" s="7">
        <v>25844</v>
      </c>
      <c r="H29" s="6" t="s">
        <v>31</v>
      </c>
      <c r="I29" s="6" t="s">
        <v>32</v>
      </c>
      <c r="J29" s="6" t="s">
        <v>33</v>
      </c>
      <c r="K29" s="6" t="s">
        <v>34</v>
      </c>
      <c r="L29" s="6" t="s">
        <v>104</v>
      </c>
      <c r="M29" s="7">
        <v>41547</v>
      </c>
      <c r="N29" s="7">
        <v>41828</v>
      </c>
      <c r="O29" s="6" t="s">
        <v>122</v>
      </c>
      <c r="P29" s="6" t="s">
        <v>46</v>
      </c>
      <c r="Q29" s="6" t="s">
        <v>38</v>
      </c>
      <c r="R29" s="6" t="s">
        <v>123</v>
      </c>
      <c r="S29" s="6" t="s">
        <v>49</v>
      </c>
      <c r="T29" s="6" t="s">
        <v>50</v>
      </c>
      <c r="U29" s="6">
        <v>3.39</v>
      </c>
      <c r="V29" s="6">
        <v>3</v>
      </c>
      <c r="W29" s="6">
        <v>0</v>
      </c>
      <c r="X29" s="7">
        <v>41690</v>
      </c>
      <c r="Y29" s="6">
        <v>0</v>
      </c>
      <c r="Z29" s="8">
        <v>14</v>
      </c>
      <c r="AA29" s="9">
        <f>DATEDIF(Table1[[#This Row],[DateofBirth]],"1-1-2020","y")</f>
        <v>49</v>
      </c>
      <c r="AB29" s="10" t="str" cm="1">
        <f t="array" ref="AB29">_xlfn.IFS(Table1[[#This Row],[age]]&lt; 20,"&lt;20",Table1[[#This Row],[age]]&lt; 30,"21-30",Table1[[#This Row],[age]]&lt; 40,"31-40", Table1[[#This Row],[age]]&lt; 50,"41-50",Table1[[#This Row],[age]]&lt; 60,"51-60",Table1[[#This Row],[age]]&lt;70,"60+")</f>
        <v>41-50</v>
      </c>
    </row>
    <row r="30" spans="1:28" ht="13.5" customHeight="1">
      <c r="A30" s="5" t="s">
        <v>124</v>
      </c>
      <c r="B30" s="6">
        <v>10177</v>
      </c>
      <c r="C30" s="6">
        <v>53492</v>
      </c>
      <c r="D30" s="6" t="s">
        <v>29</v>
      </c>
      <c r="E30" s="6" t="s">
        <v>30</v>
      </c>
      <c r="F30" s="6">
        <v>1701</v>
      </c>
      <c r="G30" s="7">
        <v>33109</v>
      </c>
      <c r="H30" s="6" t="s">
        <v>53</v>
      </c>
      <c r="I30" s="6" t="s">
        <v>44</v>
      </c>
      <c r="J30" s="6" t="s">
        <v>33</v>
      </c>
      <c r="K30" s="6" t="s">
        <v>34</v>
      </c>
      <c r="L30" s="6" t="s">
        <v>35</v>
      </c>
      <c r="M30" s="7">
        <v>40943</v>
      </c>
      <c r="N30" s="7">
        <v>41440</v>
      </c>
      <c r="O30" s="6" t="s">
        <v>82</v>
      </c>
      <c r="P30" s="6" t="s">
        <v>46</v>
      </c>
      <c r="Q30" s="6" t="s">
        <v>38</v>
      </c>
      <c r="R30" s="6" t="s">
        <v>83</v>
      </c>
      <c r="S30" s="6" t="s">
        <v>62</v>
      </c>
      <c r="T30" s="6" t="s">
        <v>50</v>
      </c>
      <c r="U30" s="6">
        <v>3.35</v>
      </c>
      <c r="V30" s="6">
        <v>4</v>
      </c>
      <c r="W30" s="6">
        <v>0</v>
      </c>
      <c r="X30" s="7">
        <v>41367</v>
      </c>
      <c r="Y30" s="6">
        <v>0</v>
      </c>
      <c r="Z30" s="8">
        <v>6</v>
      </c>
      <c r="AA30" s="9">
        <f>DATEDIF(Table1[[#This Row],[DateofBirth]],"1-1-2020","y")</f>
        <v>29</v>
      </c>
      <c r="AB30" s="10" t="str" cm="1">
        <f t="array" ref="AB30">_xlfn.IFS(Table1[[#This Row],[age]]&lt; 20,"&lt;20",Table1[[#This Row],[age]]&lt; 30,"21-30",Table1[[#This Row],[age]]&lt; 40,"31-40", Table1[[#This Row],[age]]&lt; 50,"41-50",Table1[[#This Row],[age]]&lt; 60,"51-60",Table1[[#This Row],[age]]&lt;70,"60+")</f>
        <v>21-30</v>
      </c>
    </row>
    <row r="31" spans="1:28" ht="13.5" customHeight="1">
      <c r="A31" s="5" t="s">
        <v>125</v>
      </c>
      <c r="B31" s="6">
        <v>10238</v>
      </c>
      <c r="C31" s="6">
        <v>63000</v>
      </c>
      <c r="D31" s="6" t="s">
        <v>126</v>
      </c>
      <c r="E31" s="6" t="s">
        <v>30</v>
      </c>
      <c r="F31" s="6">
        <v>1450</v>
      </c>
      <c r="G31" s="7">
        <v>32105</v>
      </c>
      <c r="H31" s="6" t="s">
        <v>53</v>
      </c>
      <c r="I31" s="6" t="s">
        <v>44</v>
      </c>
      <c r="J31" s="6" t="s">
        <v>33</v>
      </c>
      <c r="K31" s="6" t="s">
        <v>34</v>
      </c>
      <c r="L31" s="6" t="s">
        <v>74</v>
      </c>
      <c r="M31" s="7">
        <v>39748</v>
      </c>
      <c r="N31" s="7">
        <v>32874</v>
      </c>
      <c r="O31" s="6" t="s">
        <v>36</v>
      </c>
      <c r="P31" s="6" t="s">
        <v>37</v>
      </c>
      <c r="Q31" s="6" t="s">
        <v>118</v>
      </c>
      <c r="R31" s="6" t="s">
        <v>119</v>
      </c>
      <c r="S31" s="6" t="s">
        <v>76</v>
      </c>
      <c r="T31" s="6" t="s">
        <v>50</v>
      </c>
      <c r="U31" s="6">
        <v>4.5</v>
      </c>
      <c r="V31" s="6">
        <v>2</v>
      </c>
      <c r="W31" s="6">
        <v>6</v>
      </c>
      <c r="X31" s="7">
        <v>43480</v>
      </c>
      <c r="Y31" s="6">
        <v>0</v>
      </c>
      <c r="Z31" s="8">
        <v>14</v>
      </c>
      <c r="AA31" s="9">
        <f>DATEDIF(Table1[[#This Row],[DateofBirth]],"1-1-2020","y")</f>
        <v>32</v>
      </c>
      <c r="AB31" s="10" t="str" cm="1">
        <f t="array" ref="AB31">_xlfn.IFS(Table1[[#This Row],[age]]&lt; 20,"&lt;20",Table1[[#This Row],[age]]&lt; 30,"21-30",Table1[[#This Row],[age]]&lt; 40,"31-40", Table1[[#This Row],[age]]&lt; 50,"41-50",Table1[[#This Row],[age]]&lt; 60,"51-60",Table1[[#This Row],[age]]&lt;70,"60+")</f>
        <v>31-40</v>
      </c>
    </row>
    <row r="32" spans="1:28" ht="13.5" customHeight="1">
      <c r="A32" s="5" t="s">
        <v>127</v>
      </c>
      <c r="B32" s="6">
        <v>10184</v>
      </c>
      <c r="C32" s="6">
        <v>65288</v>
      </c>
      <c r="D32" s="6" t="s">
        <v>52</v>
      </c>
      <c r="E32" s="6" t="s">
        <v>30</v>
      </c>
      <c r="F32" s="6">
        <v>1013</v>
      </c>
      <c r="G32" s="7">
        <v>30525</v>
      </c>
      <c r="H32" s="6" t="s">
        <v>31</v>
      </c>
      <c r="I32" s="6" t="s">
        <v>32</v>
      </c>
      <c r="J32" s="6" t="s">
        <v>33</v>
      </c>
      <c r="K32" s="6" t="s">
        <v>34</v>
      </c>
      <c r="L32" s="6" t="s">
        <v>35</v>
      </c>
      <c r="M32" s="7">
        <v>41911</v>
      </c>
      <c r="N32" s="7">
        <v>32874</v>
      </c>
      <c r="O32" s="6" t="s">
        <v>36</v>
      </c>
      <c r="P32" s="6" t="s">
        <v>37</v>
      </c>
      <c r="Q32" s="6" t="s">
        <v>38</v>
      </c>
      <c r="R32" s="6" t="s">
        <v>61</v>
      </c>
      <c r="S32" s="6" t="s">
        <v>62</v>
      </c>
      <c r="T32" s="6" t="s">
        <v>50</v>
      </c>
      <c r="U32" s="6">
        <v>3.19</v>
      </c>
      <c r="V32" s="6">
        <v>3</v>
      </c>
      <c r="W32" s="6">
        <v>0</v>
      </c>
      <c r="X32" s="7">
        <v>43467</v>
      </c>
      <c r="Y32" s="6">
        <v>0</v>
      </c>
      <c r="Z32" s="8">
        <v>9</v>
      </c>
      <c r="AA32" s="9">
        <f>DATEDIF(Table1[[#This Row],[DateofBirth]],"1-1-2020","y")</f>
        <v>36</v>
      </c>
      <c r="AB32" s="10" t="str" cm="1">
        <f t="array" ref="AB32">_xlfn.IFS(Table1[[#This Row],[age]]&lt; 20,"&lt;20",Table1[[#This Row],[age]]&lt; 30,"21-30",Table1[[#This Row],[age]]&lt; 40,"31-40", Table1[[#This Row],[age]]&lt; 50,"41-50",Table1[[#This Row],[age]]&lt; 60,"51-60",Table1[[#This Row],[age]]&lt;70,"60+")</f>
        <v>31-40</v>
      </c>
    </row>
    <row r="33" spans="1:28" ht="13.5" customHeight="1">
      <c r="A33" s="5" t="s">
        <v>128</v>
      </c>
      <c r="B33" s="6">
        <v>10203</v>
      </c>
      <c r="C33" s="6">
        <v>64375</v>
      </c>
      <c r="D33" s="6" t="s">
        <v>29</v>
      </c>
      <c r="E33" s="6" t="s">
        <v>30</v>
      </c>
      <c r="F33" s="6">
        <v>2043</v>
      </c>
      <c r="G33" s="7">
        <v>25506</v>
      </c>
      <c r="H33" s="6" t="s">
        <v>53</v>
      </c>
      <c r="I33" s="6" t="s">
        <v>129</v>
      </c>
      <c r="J33" s="6" t="s">
        <v>33</v>
      </c>
      <c r="K33" s="6" t="s">
        <v>34</v>
      </c>
      <c r="L33" s="6" t="s">
        <v>74</v>
      </c>
      <c r="M33" s="7">
        <v>41589</v>
      </c>
      <c r="N33" s="7">
        <v>32874</v>
      </c>
      <c r="O33" s="6" t="s">
        <v>36</v>
      </c>
      <c r="P33" s="6" t="s">
        <v>37</v>
      </c>
      <c r="Q33" s="6" t="s">
        <v>38</v>
      </c>
      <c r="R33" s="6" t="s">
        <v>55</v>
      </c>
      <c r="S33" s="6" t="s">
        <v>76</v>
      </c>
      <c r="T33" s="6" t="s">
        <v>50</v>
      </c>
      <c r="U33" s="6">
        <v>3.5</v>
      </c>
      <c r="V33" s="6">
        <v>5</v>
      </c>
      <c r="W33" s="6">
        <v>0</v>
      </c>
      <c r="X33" s="7">
        <v>43486</v>
      </c>
      <c r="Y33" s="6">
        <v>0</v>
      </c>
      <c r="Z33" s="8">
        <v>17</v>
      </c>
      <c r="AA33" s="9">
        <f>DATEDIF(Table1[[#This Row],[DateofBirth]],"1-1-2020","y")</f>
        <v>50</v>
      </c>
      <c r="AB33" s="10" t="str" cm="1">
        <f t="array" ref="AB33">_xlfn.IFS(Table1[[#This Row],[age]]&lt; 20,"&lt;20",Table1[[#This Row],[age]]&lt; 30,"21-30",Table1[[#This Row],[age]]&lt; 40,"31-40", Table1[[#This Row],[age]]&lt; 50,"41-50",Table1[[#This Row],[age]]&lt; 60,"51-60",Table1[[#This Row],[age]]&lt;70,"60+")</f>
        <v>51-60</v>
      </c>
    </row>
    <row r="34" spans="1:28" ht="13.5" customHeight="1">
      <c r="A34" s="5" t="s">
        <v>130</v>
      </c>
      <c r="B34" s="6">
        <v>10188</v>
      </c>
      <c r="C34" s="6">
        <v>74326</v>
      </c>
      <c r="D34" s="6" t="s">
        <v>131</v>
      </c>
      <c r="E34" s="6" t="s">
        <v>132</v>
      </c>
      <c r="F34" s="6">
        <v>21851</v>
      </c>
      <c r="G34" s="7">
        <v>23382</v>
      </c>
      <c r="H34" s="6" t="s">
        <v>53</v>
      </c>
      <c r="I34" s="6" t="s">
        <v>44</v>
      </c>
      <c r="J34" s="6" t="s">
        <v>99</v>
      </c>
      <c r="K34" s="6" t="s">
        <v>34</v>
      </c>
      <c r="L34" s="6" t="s">
        <v>74</v>
      </c>
      <c r="M34" s="7">
        <v>40770</v>
      </c>
      <c r="N34" s="7">
        <v>41678</v>
      </c>
      <c r="O34" s="6" t="s">
        <v>82</v>
      </c>
      <c r="P34" s="6" t="s">
        <v>46</v>
      </c>
      <c r="Q34" s="6" t="s">
        <v>133</v>
      </c>
      <c r="R34" s="6" t="s">
        <v>134</v>
      </c>
      <c r="S34" s="6" t="s">
        <v>62</v>
      </c>
      <c r="T34" s="6" t="s">
        <v>50</v>
      </c>
      <c r="U34" s="6">
        <v>3.14</v>
      </c>
      <c r="V34" s="6">
        <v>5</v>
      </c>
      <c r="W34" s="6">
        <v>0</v>
      </c>
      <c r="X34" s="7">
        <v>41549</v>
      </c>
      <c r="Y34" s="6">
        <v>1</v>
      </c>
      <c r="Z34" s="8">
        <v>19</v>
      </c>
      <c r="AA34" s="9">
        <f>DATEDIF(Table1[[#This Row],[DateofBirth]],"1-1-2020","y")</f>
        <v>55</v>
      </c>
      <c r="AB34" s="10" t="str" cm="1">
        <f t="array" ref="AB34">_xlfn.IFS(Table1[[#This Row],[age]]&lt; 20,"&lt;20",Table1[[#This Row],[age]]&lt; 30,"21-30",Table1[[#This Row],[age]]&lt; 40,"31-40", Table1[[#This Row],[age]]&lt; 50,"41-50",Table1[[#This Row],[age]]&lt; 60,"51-60",Table1[[#This Row],[age]]&lt;70,"60+")</f>
        <v>51-60</v>
      </c>
    </row>
    <row r="35" spans="1:28" ht="13.5" customHeight="1">
      <c r="A35" s="5" t="s">
        <v>135</v>
      </c>
      <c r="B35" s="6">
        <v>10107</v>
      </c>
      <c r="C35" s="6">
        <v>63763</v>
      </c>
      <c r="D35" s="6" t="s">
        <v>52</v>
      </c>
      <c r="E35" s="6" t="s">
        <v>30</v>
      </c>
      <c r="F35" s="6">
        <v>2148</v>
      </c>
      <c r="G35" s="7">
        <v>29254</v>
      </c>
      <c r="H35" s="6" t="s">
        <v>53</v>
      </c>
      <c r="I35" s="6" t="s">
        <v>32</v>
      </c>
      <c r="J35" s="6" t="s">
        <v>33</v>
      </c>
      <c r="K35" s="6" t="s">
        <v>34</v>
      </c>
      <c r="L35" s="6" t="s">
        <v>74</v>
      </c>
      <c r="M35" s="7">
        <v>41032</v>
      </c>
      <c r="N35" s="7">
        <v>32874</v>
      </c>
      <c r="O35" s="6" t="s">
        <v>36</v>
      </c>
      <c r="P35" s="6" t="s">
        <v>37</v>
      </c>
      <c r="Q35" s="6" t="s">
        <v>38</v>
      </c>
      <c r="R35" s="6" t="s">
        <v>64</v>
      </c>
      <c r="S35" s="6" t="s">
        <v>72</v>
      </c>
      <c r="T35" s="6" t="s">
        <v>50</v>
      </c>
      <c r="U35" s="6">
        <v>4.51</v>
      </c>
      <c r="V35" s="6">
        <v>4</v>
      </c>
      <c r="W35" s="6">
        <v>0</v>
      </c>
      <c r="X35" s="7">
        <v>43517</v>
      </c>
      <c r="Y35" s="6">
        <v>0</v>
      </c>
      <c r="Z35" s="8">
        <v>3</v>
      </c>
      <c r="AA35" s="9">
        <f>DATEDIF(Table1[[#This Row],[DateofBirth]],"1-1-2020","y")</f>
        <v>39</v>
      </c>
      <c r="AB35" s="10" t="str" cm="1">
        <f t="array" ref="AB35">_xlfn.IFS(Table1[[#This Row],[age]]&lt; 20,"&lt;20",Table1[[#This Row],[age]]&lt; 30,"21-30",Table1[[#This Row],[age]]&lt; 40,"31-40", Table1[[#This Row],[age]]&lt; 50,"41-50",Table1[[#This Row],[age]]&lt; 60,"51-60",Table1[[#This Row],[age]]&lt;70,"60+")</f>
        <v>31-40</v>
      </c>
    </row>
    <row r="36" spans="1:28" ht="13.5" customHeight="1">
      <c r="A36" s="5" t="s">
        <v>136</v>
      </c>
      <c r="B36" s="6">
        <v>10181</v>
      </c>
      <c r="C36" s="6">
        <v>62162</v>
      </c>
      <c r="D36" s="6" t="s">
        <v>52</v>
      </c>
      <c r="E36" s="6" t="s">
        <v>30</v>
      </c>
      <c r="F36" s="6">
        <v>1890</v>
      </c>
      <c r="G36" s="7">
        <v>28356</v>
      </c>
      <c r="H36" s="6" t="s">
        <v>31</v>
      </c>
      <c r="I36" s="6" t="s">
        <v>44</v>
      </c>
      <c r="J36" s="6" t="s">
        <v>33</v>
      </c>
      <c r="K36" s="6" t="s">
        <v>34</v>
      </c>
      <c r="L36" s="6" t="s">
        <v>35</v>
      </c>
      <c r="M36" s="7">
        <v>40637</v>
      </c>
      <c r="N36" s="7">
        <v>32874</v>
      </c>
      <c r="O36" s="6" t="s">
        <v>36</v>
      </c>
      <c r="P36" s="6" t="s">
        <v>37</v>
      </c>
      <c r="Q36" s="6" t="s">
        <v>38</v>
      </c>
      <c r="R36" s="6" t="s">
        <v>71</v>
      </c>
      <c r="S36" s="6" t="s">
        <v>49</v>
      </c>
      <c r="T36" s="6" t="s">
        <v>50</v>
      </c>
      <c r="U36" s="6">
        <v>3.25</v>
      </c>
      <c r="V36" s="6">
        <v>5</v>
      </c>
      <c r="W36" s="6">
        <v>0</v>
      </c>
      <c r="X36" s="7">
        <v>43479</v>
      </c>
      <c r="Y36" s="6">
        <v>0</v>
      </c>
      <c r="Z36" s="8">
        <v>15</v>
      </c>
      <c r="AA36" s="9">
        <f>DATEDIF(Table1[[#This Row],[DateofBirth]],"1-1-2020","y")</f>
        <v>42</v>
      </c>
      <c r="AB36" s="10" t="str" cm="1">
        <f t="array" ref="AB36">_xlfn.IFS(Table1[[#This Row],[age]]&lt; 20,"&lt;20",Table1[[#This Row],[age]]&lt; 30,"21-30",Table1[[#This Row],[age]]&lt; 40,"31-40", Table1[[#This Row],[age]]&lt; 50,"41-50",Table1[[#This Row],[age]]&lt; 60,"51-60",Table1[[#This Row],[age]]&lt;70,"60+")</f>
        <v>41-50</v>
      </c>
    </row>
    <row r="37" spans="1:28" ht="13.5" customHeight="1">
      <c r="A37" s="5" t="s">
        <v>137</v>
      </c>
      <c r="B37" s="6">
        <v>10150</v>
      </c>
      <c r="C37" s="6">
        <v>77692</v>
      </c>
      <c r="D37" s="6" t="s">
        <v>138</v>
      </c>
      <c r="E37" s="6" t="s">
        <v>30</v>
      </c>
      <c r="F37" s="6">
        <v>2184</v>
      </c>
      <c r="G37" s="7">
        <v>24433</v>
      </c>
      <c r="H37" s="6" t="s">
        <v>31</v>
      </c>
      <c r="I37" s="6" t="s">
        <v>32</v>
      </c>
      <c r="J37" s="6" t="s">
        <v>33</v>
      </c>
      <c r="K37" s="6" t="s">
        <v>34</v>
      </c>
      <c r="L37" s="6" t="s">
        <v>35</v>
      </c>
      <c r="M37" s="7">
        <v>40770</v>
      </c>
      <c r="N37" s="7">
        <v>32874</v>
      </c>
      <c r="O37" s="6" t="s">
        <v>36</v>
      </c>
      <c r="P37" s="6" t="s">
        <v>37</v>
      </c>
      <c r="Q37" s="6" t="s">
        <v>67</v>
      </c>
      <c r="R37" s="6" t="s">
        <v>139</v>
      </c>
      <c r="S37" s="6" t="s">
        <v>62</v>
      </c>
      <c r="T37" s="6" t="s">
        <v>50</v>
      </c>
      <c r="U37" s="6">
        <v>3.84</v>
      </c>
      <c r="V37" s="6">
        <v>3</v>
      </c>
      <c r="W37" s="6">
        <v>5</v>
      </c>
      <c r="X37" s="7">
        <v>43486</v>
      </c>
      <c r="Y37" s="6">
        <v>0</v>
      </c>
      <c r="Z37" s="8">
        <v>4</v>
      </c>
      <c r="AA37" s="9">
        <f>DATEDIF(Table1[[#This Row],[DateofBirth]],"1-1-2020","y")</f>
        <v>53</v>
      </c>
      <c r="AB37" s="10" t="str" cm="1">
        <f t="array" ref="AB37">_xlfn.IFS(Table1[[#This Row],[age]]&lt; 20,"&lt;20",Table1[[#This Row],[age]]&lt; 30,"21-30",Table1[[#This Row],[age]]&lt; 40,"31-40", Table1[[#This Row],[age]]&lt; 50,"41-50",Table1[[#This Row],[age]]&lt; 60,"51-60",Table1[[#This Row],[age]]&lt;70,"60+")</f>
        <v>51-60</v>
      </c>
    </row>
    <row r="38" spans="1:28" ht="13.5" customHeight="1">
      <c r="A38" s="5" t="s">
        <v>140</v>
      </c>
      <c r="B38" s="6">
        <v>10001</v>
      </c>
      <c r="C38" s="6">
        <v>72640</v>
      </c>
      <c r="D38" s="6" t="s">
        <v>121</v>
      </c>
      <c r="E38" s="6" t="s">
        <v>30</v>
      </c>
      <c r="F38" s="6">
        <v>2169</v>
      </c>
      <c r="G38" s="7">
        <v>30567</v>
      </c>
      <c r="H38" s="6" t="s">
        <v>31</v>
      </c>
      <c r="I38" s="6" t="s">
        <v>32</v>
      </c>
      <c r="J38" s="6" t="s">
        <v>33</v>
      </c>
      <c r="K38" s="6" t="s">
        <v>34</v>
      </c>
      <c r="L38" s="6" t="s">
        <v>35</v>
      </c>
      <c r="M38" s="7">
        <v>42397</v>
      </c>
      <c r="N38" s="7">
        <v>32874</v>
      </c>
      <c r="O38" s="6" t="s">
        <v>36</v>
      </c>
      <c r="P38" s="6" t="s">
        <v>37</v>
      </c>
      <c r="Q38" s="6" t="s">
        <v>38</v>
      </c>
      <c r="R38" s="6" t="s">
        <v>123</v>
      </c>
      <c r="S38" s="6" t="s">
        <v>49</v>
      </c>
      <c r="T38" s="6" t="s">
        <v>41</v>
      </c>
      <c r="U38" s="6">
        <v>5</v>
      </c>
      <c r="V38" s="6">
        <v>3</v>
      </c>
      <c r="W38" s="6">
        <v>0</v>
      </c>
      <c r="X38" s="7">
        <v>43518</v>
      </c>
      <c r="Y38" s="6">
        <v>0</v>
      </c>
      <c r="Z38" s="8">
        <v>14</v>
      </c>
      <c r="AA38" s="9">
        <f>DATEDIF(Table1[[#This Row],[DateofBirth]],"1-1-2020","y")</f>
        <v>36</v>
      </c>
      <c r="AB38" s="10" t="str" cm="1">
        <f t="array" ref="AB38">_xlfn.IFS(Table1[[#This Row],[age]]&lt; 20,"&lt;20",Table1[[#This Row],[age]]&lt; 30,"21-30",Table1[[#This Row],[age]]&lt; 40,"31-40", Table1[[#This Row],[age]]&lt; 50,"41-50",Table1[[#This Row],[age]]&lt; 60,"51-60",Table1[[#This Row],[age]]&lt;70,"60+")</f>
        <v>31-40</v>
      </c>
    </row>
    <row r="39" spans="1:28" ht="13.5" customHeight="1">
      <c r="A39" s="5" t="s">
        <v>141</v>
      </c>
      <c r="B39" s="6">
        <v>10085</v>
      </c>
      <c r="C39" s="6">
        <v>93396</v>
      </c>
      <c r="D39" s="6" t="s">
        <v>66</v>
      </c>
      <c r="E39" s="6" t="s">
        <v>30</v>
      </c>
      <c r="F39" s="6">
        <v>2132</v>
      </c>
      <c r="G39" s="7">
        <v>31901</v>
      </c>
      <c r="H39" s="6" t="s">
        <v>53</v>
      </c>
      <c r="I39" s="6" t="s">
        <v>32</v>
      </c>
      <c r="J39" s="6" t="s">
        <v>33</v>
      </c>
      <c r="K39" s="6" t="s">
        <v>34</v>
      </c>
      <c r="L39" s="6" t="s">
        <v>35</v>
      </c>
      <c r="M39" s="7">
        <v>41589</v>
      </c>
      <c r="N39" s="7">
        <v>32874</v>
      </c>
      <c r="O39" s="6" t="s">
        <v>36</v>
      </c>
      <c r="P39" s="6" t="s">
        <v>37</v>
      </c>
      <c r="Q39" s="6" t="s">
        <v>67</v>
      </c>
      <c r="R39" s="6" t="s">
        <v>68</v>
      </c>
      <c r="S39" s="6" t="s">
        <v>49</v>
      </c>
      <c r="T39" s="6" t="s">
        <v>50</v>
      </c>
      <c r="U39" s="6">
        <v>4.96</v>
      </c>
      <c r="V39" s="6">
        <v>4</v>
      </c>
      <c r="W39" s="6">
        <v>6</v>
      </c>
      <c r="X39" s="7">
        <v>43495</v>
      </c>
      <c r="Y39" s="6">
        <v>0</v>
      </c>
      <c r="Z39" s="8">
        <v>3</v>
      </c>
      <c r="AA39" s="9">
        <f>DATEDIF(Table1[[#This Row],[DateofBirth]],"1-1-2020","y")</f>
        <v>32</v>
      </c>
      <c r="AB39" s="10" t="str" cm="1">
        <f t="array" ref="AB39">_xlfn.IFS(Table1[[#This Row],[age]]&lt; 20,"&lt;20",Table1[[#This Row],[age]]&lt; 30,"21-30",Table1[[#This Row],[age]]&lt; 40,"31-40", Table1[[#This Row],[age]]&lt; 50,"41-50",Table1[[#This Row],[age]]&lt; 60,"51-60",Table1[[#This Row],[age]]&lt;70,"60+")</f>
        <v>31-40</v>
      </c>
    </row>
    <row r="40" spans="1:28" ht="13.5" customHeight="1">
      <c r="A40" s="5" t="s">
        <v>142</v>
      </c>
      <c r="B40" s="6">
        <v>10115</v>
      </c>
      <c r="C40" s="6">
        <v>52846</v>
      </c>
      <c r="D40" s="6" t="s">
        <v>29</v>
      </c>
      <c r="E40" s="6" t="s">
        <v>30</v>
      </c>
      <c r="F40" s="6">
        <v>1701</v>
      </c>
      <c r="G40" s="7">
        <v>30349</v>
      </c>
      <c r="H40" s="6" t="s">
        <v>31</v>
      </c>
      <c r="I40" s="6" t="s">
        <v>32</v>
      </c>
      <c r="J40" s="6" t="s">
        <v>33</v>
      </c>
      <c r="K40" s="6" t="s">
        <v>34</v>
      </c>
      <c r="L40" s="6" t="s">
        <v>74</v>
      </c>
      <c r="M40" s="7">
        <v>41729</v>
      </c>
      <c r="N40" s="7">
        <v>32874</v>
      </c>
      <c r="O40" s="6" t="s">
        <v>36</v>
      </c>
      <c r="P40" s="6" t="s">
        <v>37</v>
      </c>
      <c r="Q40" s="6" t="s">
        <v>38</v>
      </c>
      <c r="R40" s="6" t="s">
        <v>91</v>
      </c>
      <c r="S40" s="6" t="s">
        <v>40</v>
      </c>
      <c r="T40" s="6" t="s">
        <v>50</v>
      </c>
      <c r="U40" s="6">
        <v>4.43</v>
      </c>
      <c r="V40" s="6">
        <v>3</v>
      </c>
      <c r="W40" s="6">
        <v>0</v>
      </c>
      <c r="X40" s="7">
        <v>43467</v>
      </c>
      <c r="Y40" s="6">
        <v>0</v>
      </c>
      <c r="Z40" s="8">
        <v>14</v>
      </c>
      <c r="AA40" s="9">
        <f>DATEDIF(Table1[[#This Row],[DateofBirth]],"1-1-2020","y")</f>
        <v>36</v>
      </c>
      <c r="AB40" s="10" t="str" cm="1">
        <f t="array" ref="AB40">_xlfn.IFS(Table1[[#This Row],[age]]&lt; 20,"&lt;20",Table1[[#This Row],[age]]&lt; 30,"21-30",Table1[[#This Row],[age]]&lt; 40,"31-40", Table1[[#This Row],[age]]&lt; 50,"41-50",Table1[[#This Row],[age]]&lt; 60,"51-60",Table1[[#This Row],[age]]&lt;70,"60+")</f>
        <v>31-40</v>
      </c>
    </row>
    <row r="41" spans="1:28" ht="13.5" customHeight="1">
      <c r="A41" s="5" t="s">
        <v>143</v>
      </c>
      <c r="B41" s="6">
        <v>10082</v>
      </c>
      <c r="C41" s="6">
        <v>100031</v>
      </c>
      <c r="D41" s="6" t="s">
        <v>43</v>
      </c>
      <c r="E41" s="6" t="s">
        <v>30</v>
      </c>
      <c r="F41" s="6">
        <v>1886</v>
      </c>
      <c r="G41" s="7">
        <v>31569</v>
      </c>
      <c r="H41" s="6" t="s">
        <v>53</v>
      </c>
      <c r="I41" s="6" t="s">
        <v>32</v>
      </c>
      <c r="J41" s="6" t="s">
        <v>33</v>
      </c>
      <c r="K41" s="6" t="s">
        <v>34</v>
      </c>
      <c r="L41" s="6" t="s">
        <v>74</v>
      </c>
      <c r="M41" s="7">
        <v>42551</v>
      </c>
      <c r="N41" s="7">
        <v>32874</v>
      </c>
      <c r="O41" s="6" t="s">
        <v>36</v>
      </c>
      <c r="P41" s="6" t="s">
        <v>37</v>
      </c>
      <c r="Q41" s="6" t="s">
        <v>47</v>
      </c>
      <c r="R41" s="6" t="s">
        <v>48</v>
      </c>
      <c r="S41" s="6" t="s">
        <v>40</v>
      </c>
      <c r="T41" s="6" t="s">
        <v>50</v>
      </c>
      <c r="U41" s="6">
        <v>5</v>
      </c>
      <c r="V41" s="6">
        <v>5</v>
      </c>
      <c r="W41" s="6">
        <v>6</v>
      </c>
      <c r="X41" s="7">
        <v>43514</v>
      </c>
      <c r="Y41" s="6">
        <v>0</v>
      </c>
      <c r="Z41" s="8">
        <v>7</v>
      </c>
      <c r="AA41" s="9">
        <f>DATEDIF(Table1[[#This Row],[DateofBirth]],"1-1-2020","y")</f>
        <v>33</v>
      </c>
      <c r="AB41" s="10" t="str" cm="1">
        <f t="array" ref="AB41">_xlfn.IFS(Table1[[#This Row],[age]]&lt; 20,"&lt;20",Table1[[#This Row],[age]]&lt; 30,"21-30",Table1[[#This Row],[age]]&lt; 40,"31-40", Table1[[#This Row],[age]]&lt; 50,"41-50",Table1[[#This Row],[age]]&lt; 60,"51-60",Table1[[#This Row],[age]]&lt;70,"60+")</f>
        <v>31-40</v>
      </c>
    </row>
    <row r="42" spans="1:28" ht="13.5" customHeight="1">
      <c r="A42" s="5" t="s">
        <v>144</v>
      </c>
      <c r="B42" s="6">
        <v>10040</v>
      </c>
      <c r="C42" s="6">
        <v>71860</v>
      </c>
      <c r="D42" s="6" t="s">
        <v>131</v>
      </c>
      <c r="E42" s="6" t="s">
        <v>145</v>
      </c>
      <c r="F42" s="6">
        <v>5664</v>
      </c>
      <c r="G42" s="7">
        <v>23146</v>
      </c>
      <c r="H42" s="6" t="s">
        <v>53</v>
      </c>
      <c r="I42" s="6" t="s">
        <v>32</v>
      </c>
      <c r="J42" s="6" t="s">
        <v>33</v>
      </c>
      <c r="K42" s="6" t="s">
        <v>34</v>
      </c>
      <c r="L42" s="6" t="s">
        <v>35</v>
      </c>
      <c r="M42" s="7">
        <v>41869</v>
      </c>
      <c r="N42" s="7">
        <v>32874</v>
      </c>
      <c r="O42" s="6" t="s">
        <v>36</v>
      </c>
      <c r="P42" s="6" t="s">
        <v>37</v>
      </c>
      <c r="Q42" s="6" t="s">
        <v>133</v>
      </c>
      <c r="R42" s="6" t="s">
        <v>134</v>
      </c>
      <c r="S42" s="6" t="s">
        <v>49</v>
      </c>
      <c r="T42" s="6" t="s">
        <v>50</v>
      </c>
      <c r="U42" s="6">
        <v>5</v>
      </c>
      <c r="V42" s="6">
        <v>5</v>
      </c>
      <c r="W42" s="6">
        <v>0</v>
      </c>
      <c r="X42" s="7">
        <v>43486</v>
      </c>
      <c r="Y42" s="6">
        <v>0</v>
      </c>
      <c r="Z42" s="8">
        <v>7</v>
      </c>
      <c r="AA42" s="9">
        <f>DATEDIF(Table1[[#This Row],[DateofBirth]],"1-1-2020","y")</f>
        <v>56</v>
      </c>
      <c r="AB42" s="10" t="str" cm="1">
        <f t="array" ref="AB42">_xlfn.IFS(Table1[[#This Row],[age]]&lt; 20,"&lt;20",Table1[[#This Row],[age]]&lt; 30,"21-30",Table1[[#This Row],[age]]&lt; 40,"31-40", Table1[[#This Row],[age]]&lt; 50,"41-50",Table1[[#This Row],[age]]&lt; 60,"51-60",Table1[[#This Row],[age]]&lt;70,"60+")</f>
        <v>51-60</v>
      </c>
    </row>
    <row r="43" spans="1:28" ht="13.5" customHeight="1">
      <c r="A43" s="5" t="s">
        <v>146</v>
      </c>
      <c r="B43" s="6">
        <v>10067</v>
      </c>
      <c r="C43" s="6">
        <v>61656</v>
      </c>
      <c r="D43" s="6" t="s">
        <v>29</v>
      </c>
      <c r="E43" s="6" t="s">
        <v>30</v>
      </c>
      <c r="F43" s="6">
        <v>2763</v>
      </c>
      <c r="G43" s="7">
        <v>18660</v>
      </c>
      <c r="H43" s="6" t="s">
        <v>53</v>
      </c>
      <c r="I43" s="6" t="s">
        <v>32</v>
      </c>
      <c r="J43" s="6" t="s">
        <v>33</v>
      </c>
      <c r="K43" s="6" t="s">
        <v>34</v>
      </c>
      <c r="L43" s="6" t="s">
        <v>35</v>
      </c>
      <c r="M43" s="7">
        <v>41911</v>
      </c>
      <c r="N43" s="7">
        <v>32874</v>
      </c>
      <c r="O43" s="6" t="s">
        <v>36</v>
      </c>
      <c r="P43" s="6" t="s">
        <v>37</v>
      </c>
      <c r="Q43" s="6" t="s">
        <v>38</v>
      </c>
      <c r="R43" s="6" t="s">
        <v>39</v>
      </c>
      <c r="S43" s="6" t="s">
        <v>62</v>
      </c>
      <c r="T43" s="6" t="s">
        <v>50</v>
      </c>
      <c r="U43" s="6">
        <v>5</v>
      </c>
      <c r="V43" s="6">
        <v>4</v>
      </c>
      <c r="W43" s="6">
        <v>0</v>
      </c>
      <c r="X43" s="7">
        <v>43801</v>
      </c>
      <c r="Y43" s="6">
        <v>0</v>
      </c>
      <c r="Z43" s="8">
        <v>11</v>
      </c>
      <c r="AA43" s="9">
        <f>DATEDIF(Table1[[#This Row],[DateofBirth]],"1-1-2020","y")</f>
        <v>68</v>
      </c>
      <c r="AB43" s="10" t="str" cm="1">
        <f t="array" ref="AB43">_xlfn.IFS(Table1[[#This Row],[age]]&lt; 20,"&lt;20",Table1[[#This Row],[age]]&lt; 30,"21-30",Table1[[#This Row],[age]]&lt; 40,"31-40", Table1[[#This Row],[age]]&lt; 50,"41-50",Table1[[#This Row],[age]]&lt; 60,"51-60",Table1[[#This Row],[age]]&lt;70,"60+")</f>
        <v>60+</v>
      </c>
    </row>
    <row r="44" spans="1:28" ht="13.5" customHeight="1">
      <c r="A44" s="5" t="s">
        <v>147</v>
      </c>
      <c r="B44" s="6">
        <v>10108</v>
      </c>
      <c r="C44" s="6">
        <v>110929</v>
      </c>
      <c r="D44" s="6" t="s">
        <v>148</v>
      </c>
      <c r="E44" s="6" t="s">
        <v>30</v>
      </c>
      <c r="F44" s="6">
        <v>2045</v>
      </c>
      <c r="G44" s="7">
        <v>26544</v>
      </c>
      <c r="H44" s="6" t="s">
        <v>31</v>
      </c>
      <c r="I44" s="6" t="s">
        <v>44</v>
      </c>
      <c r="J44" s="6" t="s">
        <v>33</v>
      </c>
      <c r="K44" s="6" t="s">
        <v>34</v>
      </c>
      <c r="L44" s="6" t="s">
        <v>35</v>
      </c>
      <c r="M44" s="7">
        <v>42530</v>
      </c>
      <c r="N44" s="7">
        <v>32874</v>
      </c>
      <c r="O44" s="6" t="s">
        <v>36</v>
      </c>
      <c r="P44" s="6" t="s">
        <v>37</v>
      </c>
      <c r="Q44" s="6" t="s">
        <v>47</v>
      </c>
      <c r="R44" s="6" t="s">
        <v>139</v>
      </c>
      <c r="S44" s="6" t="s">
        <v>49</v>
      </c>
      <c r="T44" s="6" t="s">
        <v>50</v>
      </c>
      <c r="U44" s="6">
        <v>4.5</v>
      </c>
      <c r="V44" s="6">
        <v>5</v>
      </c>
      <c r="W44" s="6">
        <v>7</v>
      </c>
      <c r="X44" s="7">
        <v>43480</v>
      </c>
      <c r="Y44" s="6">
        <v>0</v>
      </c>
      <c r="Z44" s="8">
        <v>8</v>
      </c>
      <c r="AA44" s="9">
        <f>DATEDIF(Table1[[#This Row],[DateofBirth]],"1-1-2020","y")</f>
        <v>47</v>
      </c>
      <c r="AB44" s="10" t="str" cm="1">
        <f t="array" ref="AB44">_xlfn.IFS(Table1[[#This Row],[age]]&lt; 20,"&lt;20",Table1[[#This Row],[age]]&lt; 30,"21-30",Table1[[#This Row],[age]]&lt; 40,"31-40", Table1[[#This Row],[age]]&lt; 50,"41-50",Table1[[#This Row],[age]]&lt; 60,"51-60",Table1[[#This Row],[age]]&lt;70,"60+")</f>
        <v>41-50</v>
      </c>
    </row>
    <row r="45" spans="1:28" ht="13.5" customHeight="1">
      <c r="A45" s="5" t="s">
        <v>149</v>
      </c>
      <c r="B45" s="6">
        <v>10210</v>
      </c>
      <c r="C45" s="6">
        <v>54237</v>
      </c>
      <c r="D45" s="6" t="s">
        <v>29</v>
      </c>
      <c r="E45" s="6" t="s">
        <v>30</v>
      </c>
      <c r="F45" s="6">
        <v>2170</v>
      </c>
      <c r="G45" s="7">
        <v>29191</v>
      </c>
      <c r="H45" s="6" t="s">
        <v>53</v>
      </c>
      <c r="I45" s="6" t="s">
        <v>32</v>
      </c>
      <c r="J45" s="6" t="s">
        <v>33</v>
      </c>
      <c r="K45" s="6" t="s">
        <v>34</v>
      </c>
      <c r="L45" s="6" t="s">
        <v>35</v>
      </c>
      <c r="M45" s="7">
        <v>41978</v>
      </c>
      <c r="N45" s="7">
        <v>32874</v>
      </c>
      <c r="O45" s="6" t="s">
        <v>36</v>
      </c>
      <c r="P45" s="6" t="s">
        <v>37</v>
      </c>
      <c r="Q45" s="6" t="s">
        <v>38</v>
      </c>
      <c r="R45" s="6" t="s">
        <v>57</v>
      </c>
      <c r="S45" s="6" t="s">
        <v>49</v>
      </c>
      <c r="T45" s="6" t="s">
        <v>50</v>
      </c>
      <c r="U45" s="6">
        <v>3.3</v>
      </c>
      <c r="V45" s="6">
        <v>4</v>
      </c>
      <c r="W45" s="6">
        <v>0</v>
      </c>
      <c r="X45" s="7">
        <v>43515</v>
      </c>
      <c r="Y45" s="6">
        <v>0</v>
      </c>
      <c r="Z45" s="8">
        <v>11</v>
      </c>
      <c r="AA45" s="9">
        <f>DATEDIF(Table1[[#This Row],[DateofBirth]],"1-1-2020","y")</f>
        <v>40</v>
      </c>
      <c r="AB45" s="10" t="str" cm="1">
        <f t="array" ref="AB45">_xlfn.IFS(Table1[[#This Row],[age]]&lt; 20,"&lt;20",Table1[[#This Row],[age]]&lt; 30,"21-30",Table1[[#This Row],[age]]&lt; 40,"31-40", Table1[[#This Row],[age]]&lt; 50,"41-50",Table1[[#This Row],[age]]&lt; 60,"51-60",Table1[[#This Row],[age]]&lt;70,"60+")</f>
        <v>41-50</v>
      </c>
    </row>
    <row r="46" spans="1:28" ht="13.5" customHeight="1">
      <c r="A46" s="5" t="s">
        <v>150</v>
      </c>
      <c r="B46" s="6">
        <v>10154</v>
      </c>
      <c r="C46" s="6">
        <v>60380</v>
      </c>
      <c r="D46" s="6" t="s">
        <v>29</v>
      </c>
      <c r="E46" s="6" t="s">
        <v>30</v>
      </c>
      <c r="F46" s="6">
        <v>1845</v>
      </c>
      <c r="G46" s="7">
        <v>30552</v>
      </c>
      <c r="H46" s="6" t="s">
        <v>31</v>
      </c>
      <c r="I46" s="6" t="s">
        <v>32</v>
      </c>
      <c r="J46" s="6" t="s">
        <v>33</v>
      </c>
      <c r="K46" s="6" t="s">
        <v>34</v>
      </c>
      <c r="L46" s="6" t="s">
        <v>35</v>
      </c>
      <c r="M46" s="7">
        <v>41493</v>
      </c>
      <c r="N46" s="7">
        <v>32874</v>
      </c>
      <c r="O46" s="6" t="s">
        <v>36</v>
      </c>
      <c r="P46" s="6" t="s">
        <v>37</v>
      </c>
      <c r="Q46" s="6" t="s">
        <v>38</v>
      </c>
      <c r="R46" s="6" t="s">
        <v>61</v>
      </c>
      <c r="S46" s="6" t="s">
        <v>40</v>
      </c>
      <c r="T46" s="6" t="s">
        <v>50</v>
      </c>
      <c r="U46" s="6">
        <v>3.8</v>
      </c>
      <c r="V46" s="6">
        <v>5</v>
      </c>
      <c r="W46" s="6">
        <v>0</v>
      </c>
      <c r="X46" s="7">
        <v>43479</v>
      </c>
      <c r="Y46" s="6">
        <v>0</v>
      </c>
      <c r="Z46" s="8">
        <v>4</v>
      </c>
      <c r="AA46" s="9">
        <f>DATEDIF(Table1[[#This Row],[DateofBirth]],"1-1-2020","y")</f>
        <v>36</v>
      </c>
      <c r="AB46" s="10" t="str" cm="1">
        <f t="array" ref="AB46">_xlfn.IFS(Table1[[#This Row],[age]]&lt; 20,"&lt;20",Table1[[#This Row],[age]]&lt; 30,"21-30",Table1[[#This Row],[age]]&lt; 40,"31-40", Table1[[#This Row],[age]]&lt; 50,"41-50",Table1[[#This Row],[age]]&lt; 60,"51-60",Table1[[#This Row],[age]]&lt;70,"60+")</f>
        <v>31-40</v>
      </c>
    </row>
    <row r="47" spans="1:28" ht="13.5" customHeight="1">
      <c r="A47" s="5" t="s">
        <v>151</v>
      </c>
      <c r="B47" s="6">
        <v>10200</v>
      </c>
      <c r="C47" s="6">
        <v>66808</v>
      </c>
      <c r="D47" s="6" t="s">
        <v>131</v>
      </c>
      <c r="E47" s="6" t="s">
        <v>88</v>
      </c>
      <c r="F47" s="6">
        <v>78207</v>
      </c>
      <c r="G47" s="7">
        <v>25878</v>
      </c>
      <c r="H47" s="6" t="s">
        <v>31</v>
      </c>
      <c r="I47" s="6" t="s">
        <v>32</v>
      </c>
      <c r="J47" s="6" t="s">
        <v>99</v>
      </c>
      <c r="K47" s="6" t="s">
        <v>34</v>
      </c>
      <c r="L47" s="6" t="s">
        <v>74</v>
      </c>
      <c r="M47" s="7">
        <v>41043</v>
      </c>
      <c r="N47" s="7">
        <v>32874</v>
      </c>
      <c r="O47" s="6" t="s">
        <v>36</v>
      </c>
      <c r="P47" s="6" t="s">
        <v>37</v>
      </c>
      <c r="Q47" s="6" t="s">
        <v>133</v>
      </c>
      <c r="R47" s="6" t="s">
        <v>152</v>
      </c>
      <c r="S47" s="6" t="s">
        <v>72</v>
      </c>
      <c r="T47" s="6" t="s">
        <v>50</v>
      </c>
      <c r="U47" s="6">
        <v>3</v>
      </c>
      <c r="V47" s="6">
        <v>5</v>
      </c>
      <c r="W47" s="6">
        <v>0</v>
      </c>
      <c r="X47" s="7">
        <v>43484</v>
      </c>
      <c r="Y47" s="6">
        <v>0</v>
      </c>
      <c r="Z47" s="8">
        <v>17</v>
      </c>
      <c r="AA47" s="9">
        <f>DATEDIF(Table1[[#This Row],[DateofBirth]],"1-1-2020","y")</f>
        <v>49</v>
      </c>
      <c r="AB47" s="10" t="str" cm="1">
        <f t="array" ref="AB47">_xlfn.IFS(Table1[[#This Row],[age]]&lt; 20,"&lt;20",Table1[[#This Row],[age]]&lt; 30,"21-30",Table1[[#This Row],[age]]&lt; 40,"31-40", Table1[[#This Row],[age]]&lt; 50,"41-50",Table1[[#This Row],[age]]&lt; 60,"51-60",Table1[[#This Row],[age]]&lt;70,"60+")</f>
        <v>41-50</v>
      </c>
    </row>
    <row r="48" spans="1:28" ht="13.5" customHeight="1">
      <c r="A48" s="5" t="s">
        <v>153</v>
      </c>
      <c r="B48" s="6">
        <v>10240</v>
      </c>
      <c r="C48" s="6">
        <v>64786</v>
      </c>
      <c r="D48" s="6" t="s">
        <v>29</v>
      </c>
      <c r="E48" s="6" t="s">
        <v>30</v>
      </c>
      <c r="F48" s="6">
        <v>1775</v>
      </c>
      <c r="G48" s="7">
        <v>30555</v>
      </c>
      <c r="H48" s="6" t="s">
        <v>53</v>
      </c>
      <c r="I48" s="6" t="s">
        <v>32</v>
      </c>
      <c r="J48" s="6" t="s">
        <v>33</v>
      </c>
      <c r="K48" s="6" t="s">
        <v>34</v>
      </c>
      <c r="L48" s="6" t="s">
        <v>35</v>
      </c>
      <c r="M48" s="7">
        <v>40721</v>
      </c>
      <c r="N48" s="7">
        <v>42323</v>
      </c>
      <c r="O48" s="6" t="s">
        <v>154</v>
      </c>
      <c r="P48" s="6" t="s">
        <v>46</v>
      </c>
      <c r="Q48" s="6" t="s">
        <v>38</v>
      </c>
      <c r="R48" s="6" t="s">
        <v>64</v>
      </c>
      <c r="S48" s="6" t="s">
        <v>49</v>
      </c>
      <c r="T48" s="6" t="s">
        <v>50</v>
      </c>
      <c r="U48" s="6">
        <v>4.3</v>
      </c>
      <c r="V48" s="6">
        <v>4</v>
      </c>
      <c r="W48" s="6">
        <v>0</v>
      </c>
      <c r="X48" s="7">
        <v>42280</v>
      </c>
      <c r="Y48" s="6">
        <v>0</v>
      </c>
      <c r="Z48" s="8">
        <v>3</v>
      </c>
      <c r="AA48" s="9">
        <f>DATEDIF(Table1[[#This Row],[DateofBirth]],"1-1-2020","y")</f>
        <v>36</v>
      </c>
      <c r="AB48" s="10" t="str" cm="1">
        <f t="array" ref="AB48">_xlfn.IFS(Table1[[#This Row],[age]]&lt; 20,"&lt;20",Table1[[#This Row],[age]]&lt; 30,"21-30",Table1[[#This Row],[age]]&lt; 40,"31-40", Table1[[#This Row],[age]]&lt; 50,"41-50",Table1[[#This Row],[age]]&lt; 60,"51-60",Table1[[#This Row],[age]]&lt;70,"60+")</f>
        <v>31-40</v>
      </c>
    </row>
    <row r="49" spans="1:28" ht="13.5" customHeight="1">
      <c r="A49" s="5" t="s">
        <v>155</v>
      </c>
      <c r="B49" s="6">
        <v>10168</v>
      </c>
      <c r="C49" s="6">
        <v>64816</v>
      </c>
      <c r="D49" s="6" t="s">
        <v>29</v>
      </c>
      <c r="E49" s="6" t="s">
        <v>30</v>
      </c>
      <c r="F49" s="6">
        <v>2044</v>
      </c>
      <c r="G49" s="7">
        <v>32294</v>
      </c>
      <c r="H49" s="6" t="s">
        <v>53</v>
      </c>
      <c r="I49" s="6" t="s">
        <v>32</v>
      </c>
      <c r="J49" s="6" t="s">
        <v>156</v>
      </c>
      <c r="K49" s="6" t="s">
        <v>34</v>
      </c>
      <c r="L49" s="6" t="s">
        <v>74</v>
      </c>
      <c r="M49" s="7">
        <v>40612</v>
      </c>
      <c r="N49" s="7">
        <v>32874</v>
      </c>
      <c r="O49" s="6" t="s">
        <v>36</v>
      </c>
      <c r="P49" s="6" t="s">
        <v>37</v>
      </c>
      <c r="Q49" s="6" t="s">
        <v>38</v>
      </c>
      <c r="R49" s="6" t="s">
        <v>71</v>
      </c>
      <c r="S49" s="6" t="s">
        <v>49</v>
      </c>
      <c r="T49" s="6" t="s">
        <v>50</v>
      </c>
      <c r="U49" s="6">
        <v>3.58</v>
      </c>
      <c r="V49" s="6">
        <v>5</v>
      </c>
      <c r="W49" s="6">
        <v>0</v>
      </c>
      <c r="X49" s="7">
        <v>43495</v>
      </c>
      <c r="Y49" s="6">
        <v>0</v>
      </c>
      <c r="Z49" s="8">
        <v>3</v>
      </c>
      <c r="AA49" s="9">
        <f>DATEDIF(Table1[[#This Row],[DateofBirth]],"1-1-2020","y")</f>
        <v>31</v>
      </c>
      <c r="AB49" s="10" t="str" cm="1">
        <f t="array" ref="AB49">_xlfn.IFS(Table1[[#This Row],[age]]&lt; 20,"&lt;20",Table1[[#This Row],[age]]&lt; 30,"21-30",Table1[[#This Row],[age]]&lt; 40,"31-40", Table1[[#This Row],[age]]&lt; 50,"41-50",Table1[[#This Row],[age]]&lt; 60,"51-60",Table1[[#This Row],[age]]&lt;70,"60+")</f>
        <v>31-40</v>
      </c>
    </row>
    <row r="50" spans="1:28" ht="13.5" customHeight="1">
      <c r="A50" s="5" t="s">
        <v>157</v>
      </c>
      <c r="B50" s="6">
        <v>10220</v>
      </c>
      <c r="C50" s="6">
        <v>68678</v>
      </c>
      <c r="D50" s="6" t="s">
        <v>78</v>
      </c>
      <c r="E50" s="6" t="s">
        <v>30</v>
      </c>
      <c r="F50" s="6">
        <v>2170</v>
      </c>
      <c r="G50" s="7">
        <v>31176</v>
      </c>
      <c r="H50" s="6" t="s">
        <v>31</v>
      </c>
      <c r="I50" s="6" t="s">
        <v>32</v>
      </c>
      <c r="J50" s="6" t="s">
        <v>33</v>
      </c>
      <c r="K50" s="6" t="s">
        <v>34</v>
      </c>
      <c r="L50" s="6" t="s">
        <v>35</v>
      </c>
      <c r="M50" s="7">
        <v>41038</v>
      </c>
      <c r="N50" s="7">
        <v>32874</v>
      </c>
      <c r="O50" s="6" t="s">
        <v>36</v>
      </c>
      <c r="P50" s="6" t="s">
        <v>37</v>
      </c>
      <c r="Q50" s="6" t="s">
        <v>47</v>
      </c>
      <c r="R50" s="6" t="s">
        <v>158</v>
      </c>
      <c r="S50" s="6" t="s">
        <v>49</v>
      </c>
      <c r="T50" s="6" t="s">
        <v>50</v>
      </c>
      <c r="U50" s="6">
        <v>4.7</v>
      </c>
      <c r="V50" s="6">
        <v>3</v>
      </c>
      <c r="W50" s="6">
        <v>6</v>
      </c>
      <c r="X50" s="7">
        <v>43523</v>
      </c>
      <c r="Y50" s="6">
        <v>0</v>
      </c>
      <c r="Z50" s="8">
        <v>2</v>
      </c>
      <c r="AA50" s="9">
        <f>DATEDIF(Table1[[#This Row],[DateofBirth]],"1-1-2020","y")</f>
        <v>34</v>
      </c>
      <c r="AB50" s="10" t="str" cm="1">
        <f t="array" ref="AB50">_xlfn.IFS(Table1[[#This Row],[age]]&lt; 20,"&lt;20",Table1[[#This Row],[age]]&lt; 30,"21-30",Table1[[#This Row],[age]]&lt; 40,"31-40", Table1[[#This Row],[age]]&lt; 50,"41-50",Table1[[#This Row],[age]]&lt; 60,"51-60",Table1[[#This Row],[age]]&lt;70,"60+")</f>
        <v>31-40</v>
      </c>
    </row>
    <row r="51" spans="1:28" ht="13.5" customHeight="1">
      <c r="A51" s="5" t="s">
        <v>159</v>
      </c>
      <c r="B51" s="6">
        <v>10275</v>
      </c>
      <c r="C51" s="6">
        <v>64066</v>
      </c>
      <c r="D51" s="6" t="s">
        <v>52</v>
      </c>
      <c r="E51" s="6" t="s">
        <v>30</v>
      </c>
      <c r="F51" s="6">
        <v>1752</v>
      </c>
      <c r="G51" s="7">
        <v>29829</v>
      </c>
      <c r="H51" s="6" t="s">
        <v>53</v>
      </c>
      <c r="I51" s="6" t="s">
        <v>44</v>
      </c>
      <c r="J51" s="6" t="s">
        <v>33</v>
      </c>
      <c r="K51" s="6" t="s">
        <v>34</v>
      </c>
      <c r="L51" s="6" t="s">
        <v>35</v>
      </c>
      <c r="M51" s="7">
        <v>40679</v>
      </c>
      <c r="N51" s="7">
        <v>41456</v>
      </c>
      <c r="O51" s="6" t="s">
        <v>85</v>
      </c>
      <c r="P51" s="6" t="s">
        <v>46</v>
      </c>
      <c r="Q51" s="6" t="s">
        <v>38</v>
      </c>
      <c r="R51" s="6" t="s">
        <v>75</v>
      </c>
      <c r="S51" s="6" t="s">
        <v>62</v>
      </c>
      <c r="T51" s="6" t="s">
        <v>50</v>
      </c>
      <c r="U51" s="6">
        <v>4.2</v>
      </c>
      <c r="V51" s="6">
        <v>5</v>
      </c>
      <c r="W51" s="6">
        <v>0</v>
      </c>
      <c r="X51" s="7">
        <v>40973</v>
      </c>
      <c r="Y51" s="6">
        <v>0</v>
      </c>
      <c r="Z51" s="8">
        <v>9</v>
      </c>
      <c r="AA51" s="9">
        <f>DATEDIF(Table1[[#This Row],[DateofBirth]],"1-1-2020","y")</f>
        <v>38</v>
      </c>
      <c r="AB51" s="10" t="str" cm="1">
        <f t="array" ref="AB51">_xlfn.IFS(Table1[[#This Row],[age]]&lt; 20,"&lt;20",Table1[[#This Row],[age]]&lt; 30,"21-30",Table1[[#This Row],[age]]&lt; 40,"31-40", Table1[[#This Row],[age]]&lt; 50,"41-50",Table1[[#This Row],[age]]&lt; 60,"51-60",Table1[[#This Row],[age]]&lt;70,"60+")</f>
        <v>31-40</v>
      </c>
    </row>
    <row r="52" spans="1:28" ht="13.5" customHeight="1">
      <c r="A52" s="5" t="s">
        <v>160</v>
      </c>
      <c r="B52" s="6">
        <v>10269</v>
      </c>
      <c r="C52" s="6">
        <v>59369</v>
      </c>
      <c r="D52" s="6" t="s">
        <v>52</v>
      </c>
      <c r="E52" s="6" t="s">
        <v>30</v>
      </c>
      <c r="F52" s="6">
        <v>2169</v>
      </c>
      <c r="G52" s="7">
        <v>28819</v>
      </c>
      <c r="H52" s="6" t="s">
        <v>31</v>
      </c>
      <c r="I52" s="6" t="s">
        <v>44</v>
      </c>
      <c r="J52" s="6" t="s">
        <v>33</v>
      </c>
      <c r="K52" s="6" t="s">
        <v>34</v>
      </c>
      <c r="L52" s="6" t="s">
        <v>35</v>
      </c>
      <c r="M52" s="7">
        <v>40420</v>
      </c>
      <c r="N52" s="7">
        <v>40812</v>
      </c>
      <c r="O52" s="6" t="s">
        <v>45</v>
      </c>
      <c r="P52" s="6" t="s">
        <v>46</v>
      </c>
      <c r="Q52" s="6" t="s">
        <v>38</v>
      </c>
      <c r="R52" s="6" t="s">
        <v>83</v>
      </c>
      <c r="S52" s="6" t="s">
        <v>49</v>
      </c>
      <c r="T52" s="6" t="s">
        <v>50</v>
      </c>
      <c r="U52" s="6">
        <v>4.2</v>
      </c>
      <c r="V52" s="6">
        <v>4</v>
      </c>
      <c r="W52" s="6">
        <v>0</v>
      </c>
      <c r="X52" s="7">
        <v>40638</v>
      </c>
      <c r="Y52" s="6">
        <v>0</v>
      </c>
      <c r="Z52" s="8">
        <v>6</v>
      </c>
      <c r="AA52" s="9">
        <f>DATEDIF(Table1[[#This Row],[DateofBirth]],"1-1-2020","y")</f>
        <v>41</v>
      </c>
      <c r="AB52" s="10" t="str" cm="1">
        <f t="array" ref="AB52">_xlfn.IFS(Table1[[#This Row],[age]]&lt; 20,"&lt;20",Table1[[#This Row],[age]]&lt; 30,"21-30",Table1[[#This Row],[age]]&lt; 40,"31-40", Table1[[#This Row],[age]]&lt; 50,"41-50",Table1[[#This Row],[age]]&lt; 60,"51-60",Table1[[#This Row],[age]]&lt;70,"60+")</f>
        <v>41-50</v>
      </c>
    </row>
    <row r="53" spans="1:28" ht="13.5" customHeight="1">
      <c r="A53" s="5" t="s">
        <v>161</v>
      </c>
      <c r="B53" s="6">
        <v>10029</v>
      </c>
      <c r="C53" s="6">
        <v>50373</v>
      </c>
      <c r="D53" s="6" t="s">
        <v>29</v>
      </c>
      <c r="E53" s="6" t="s">
        <v>30</v>
      </c>
      <c r="F53" s="6">
        <v>2134</v>
      </c>
      <c r="G53" s="7">
        <v>29459</v>
      </c>
      <c r="H53" s="6" t="s">
        <v>31</v>
      </c>
      <c r="I53" s="6" t="s">
        <v>44</v>
      </c>
      <c r="J53" s="6" t="s">
        <v>33</v>
      </c>
      <c r="K53" s="6" t="s">
        <v>34</v>
      </c>
      <c r="L53" s="6" t="s">
        <v>35</v>
      </c>
      <c r="M53" s="7">
        <v>42528</v>
      </c>
      <c r="N53" s="7">
        <v>32874</v>
      </c>
      <c r="O53" s="6" t="s">
        <v>36</v>
      </c>
      <c r="P53" s="6" t="s">
        <v>37</v>
      </c>
      <c r="Q53" s="6" t="s">
        <v>38</v>
      </c>
      <c r="R53" s="6" t="s">
        <v>75</v>
      </c>
      <c r="S53" s="6" t="s">
        <v>72</v>
      </c>
      <c r="T53" s="6" t="s">
        <v>41</v>
      </c>
      <c r="U53" s="6">
        <v>4.0999999999999996</v>
      </c>
      <c r="V53" s="6">
        <v>4</v>
      </c>
      <c r="W53" s="6">
        <v>0</v>
      </c>
      <c r="X53" s="7">
        <v>43524</v>
      </c>
      <c r="Y53" s="6">
        <v>0</v>
      </c>
      <c r="Z53" s="8">
        <v>5</v>
      </c>
      <c r="AA53" s="9">
        <f>DATEDIF(Table1[[#This Row],[DateofBirth]],"1-1-2020","y")</f>
        <v>39</v>
      </c>
      <c r="AB53" s="10" t="str" cm="1">
        <f t="array" ref="AB53">_xlfn.IFS(Table1[[#This Row],[age]]&lt; 20,"&lt;20",Table1[[#This Row],[age]]&lt; 30,"21-30",Table1[[#This Row],[age]]&lt; 40,"31-40", Table1[[#This Row],[age]]&lt; 50,"41-50",Table1[[#This Row],[age]]&lt; 60,"51-60",Table1[[#This Row],[age]]&lt;70,"60+")</f>
        <v>31-40</v>
      </c>
    </row>
    <row r="54" spans="1:28" ht="13.5" customHeight="1">
      <c r="A54" s="5" t="s">
        <v>162</v>
      </c>
      <c r="B54" s="6">
        <v>10261</v>
      </c>
      <c r="C54" s="6">
        <v>63108</v>
      </c>
      <c r="D54" s="6" t="s">
        <v>29</v>
      </c>
      <c r="E54" s="6" t="s">
        <v>30</v>
      </c>
      <c r="F54" s="6">
        <v>2452</v>
      </c>
      <c r="G54" s="7">
        <v>28346</v>
      </c>
      <c r="H54" s="6" t="s">
        <v>31</v>
      </c>
      <c r="I54" s="6" t="s">
        <v>32</v>
      </c>
      <c r="J54" s="6" t="s">
        <v>33</v>
      </c>
      <c r="K54" s="6" t="s">
        <v>34</v>
      </c>
      <c r="L54" s="6" t="s">
        <v>35</v>
      </c>
      <c r="M54" s="7">
        <v>41493</v>
      </c>
      <c r="N54" s="7">
        <v>32874</v>
      </c>
      <c r="O54" s="6" t="s">
        <v>36</v>
      </c>
      <c r="P54" s="6" t="s">
        <v>37</v>
      </c>
      <c r="Q54" s="6" t="s">
        <v>38</v>
      </c>
      <c r="R54" s="6" t="s">
        <v>83</v>
      </c>
      <c r="S54" s="6" t="s">
        <v>72</v>
      </c>
      <c r="T54" s="6" t="s">
        <v>50</v>
      </c>
      <c r="U54" s="6">
        <v>4.4000000000000004</v>
      </c>
      <c r="V54" s="6">
        <v>5</v>
      </c>
      <c r="W54" s="6">
        <v>0</v>
      </c>
      <c r="X54" s="7">
        <v>43479</v>
      </c>
      <c r="Y54" s="6">
        <v>0</v>
      </c>
      <c r="Z54" s="8">
        <v>3</v>
      </c>
      <c r="AA54" s="9">
        <f>DATEDIF(Table1[[#This Row],[DateofBirth]],"1-1-2020","y")</f>
        <v>42</v>
      </c>
      <c r="AB54" s="10" t="str" cm="1">
        <f t="array" ref="AB54">_xlfn.IFS(Table1[[#This Row],[age]]&lt; 20,"&lt;20",Table1[[#This Row],[age]]&lt; 30,"21-30",Table1[[#This Row],[age]]&lt; 40,"31-40", Table1[[#This Row],[age]]&lt; 50,"41-50",Table1[[#This Row],[age]]&lt; 60,"51-60",Table1[[#This Row],[age]]&lt;70,"60+")</f>
        <v>41-50</v>
      </c>
    </row>
    <row r="55" spans="1:28" ht="13.5" customHeight="1">
      <c r="A55" s="5" t="s">
        <v>163</v>
      </c>
      <c r="B55" s="6">
        <v>10292</v>
      </c>
      <c r="C55" s="6">
        <v>59144</v>
      </c>
      <c r="D55" s="6" t="s">
        <v>29</v>
      </c>
      <c r="E55" s="6" t="s">
        <v>30</v>
      </c>
      <c r="F55" s="6">
        <v>1880</v>
      </c>
      <c r="G55" s="7">
        <v>29197</v>
      </c>
      <c r="H55" s="6" t="s">
        <v>31</v>
      </c>
      <c r="I55" s="6" t="s">
        <v>32</v>
      </c>
      <c r="J55" s="6" t="s">
        <v>33</v>
      </c>
      <c r="K55" s="6" t="s">
        <v>34</v>
      </c>
      <c r="L55" s="6" t="s">
        <v>74</v>
      </c>
      <c r="M55" s="7">
        <v>40854</v>
      </c>
      <c r="N55" s="7">
        <v>42636</v>
      </c>
      <c r="O55" s="6" t="s">
        <v>102</v>
      </c>
      <c r="P55" s="6" t="s">
        <v>96</v>
      </c>
      <c r="Q55" s="6" t="s">
        <v>38</v>
      </c>
      <c r="R55" s="6" t="s">
        <v>55</v>
      </c>
      <c r="S55" s="6" t="s">
        <v>40</v>
      </c>
      <c r="T55" s="6" t="s">
        <v>110</v>
      </c>
      <c r="U55" s="6">
        <v>2</v>
      </c>
      <c r="V55" s="6">
        <v>3</v>
      </c>
      <c r="W55" s="6">
        <v>0</v>
      </c>
      <c r="X55" s="7">
        <v>42374</v>
      </c>
      <c r="Y55" s="6">
        <v>5</v>
      </c>
      <c r="Z55" s="8">
        <v>16</v>
      </c>
      <c r="AA55" s="9">
        <f>DATEDIF(Table1[[#This Row],[DateofBirth]],"1-1-2020","y")</f>
        <v>40</v>
      </c>
      <c r="AB55" s="10" t="str" cm="1">
        <f t="array" ref="AB55">_xlfn.IFS(Table1[[#This Row],[age]]&lt; 20,"&lt;20",Table1[[#This Row],[age]]&lt; 30,"21-30",Table1[[#This Row],[age]]&lt; 40,"31-40", Table1[[#This Row],[age]]&lt; 50,"41-50",Table1[[#This Row],[age]]&lt; 60,"51-60",Table1[[#This Row],[age]]&lt;70,"60+")</f>
        <v>41-50</v>
      </c>
    </row>
    <row r="56" spans="1:28" ht="13.5" customHeight="1">
      <c r="A56" s="5" t="s">
        <v>164</v>
      </c>
      <c r="B56" s="6">
        <v>10282</v>
      </c>
      <c r="C56" s="6">
        <v>68051</v>
      </c>
      <c r="D56" s="6" t="s">
        <v>121</v>
      </c>
      <c r="E56" s="6" t="s">
        <v>30</v>
      </c>
      <c r="F56" s="6">
        <v>1803</v>
      </c>
      <c r="G56" s="7">
        <v>27745</v>
      </c>
      <c r="H56" s="6" t="s">
        <v>31</v>
      </c>
      <c r="I56" s="6" t="s">
        <v>59</v>
      </c>
      <c r="J56" s="6" t="s">
        <v>33</v>
      </c>
      <c r="K56" s="6" t="s">
        <v>34</v>
      </c>
      <c r="L56" s="6" t="s">
        <v>35</v>
      </c>
      <c r="M56" s="7">
        <v>40379</v>
      </c>
      <c r="N56" s="7">
        <v>32874</v>
      </c>
      <c r="O56" s="6" t="s">
        <v>36</v>
      </c>
      <c r="P56" s="6" t="s">
        <v>37</v>
      </c>
      <c r="Q56" s="6" t="s">
        <v>38</v>
      </c>
      <c r="R56" s="6" t="s">
        <v>123</v>
      </c>
      <c r="S56" s="6" t="s">
        <v>109</v>
      </c>
      <c r="T56" s="6" t="s">
        <v>110</v>
      </c>
      <c r="U56" s="6">
        <v>4.13</v>
      </c>
      <c r="V56" s="6">
        <v>2</v>
      </c>
      <c r="W56" s="6">
        <v>0</v>
      </c>
      <c r="X56" s="7">
        <v>43479</v>
      </c>
      <c r="Y56" s="6">
        <v>3</v>
      </c>
      <c r="Z56" s="8">
        <v>3</v>
      </c>
      <c r="AA56" s="9">
        <f>DATEDIF(Table1[[#This Row],[DateofBirth]],"1-1-2020","y")</f>
        <v>44</v>
      </c>
      <c r="AB56" s="10" t="str" cm="1">
        <f t="array" ref="AB56">_xlfn.IFS(Table1[[#This Row],[age]]&lt; 20,"&lt;20",Table1[[#This Row],[age]]&lt; 30,"21-30",Table1[[#This Row],[age]]&lt; 40,"31-40", Table1[[#This Row],[age]]&lt; 50,"41-50",Table1[[#This Row],[age]]&lt; 60,"51-60",Table1[[#This Row],[age]]&lt;70,"60+")</f>
        <v>41-50</v>
      </c>
    </row>
    <row r="57" spans="1:28" ht="13.5" customHeight="1">
      <c r="A57" s="5" t="s">
        <v>165</v>
      </c>
      <c r="B57" s="6">
        <v>10019</v>
      </c>
      <c r="C57" s="6">
        <v>170500</v>
      </c>
      <c r="D57" s="6" t="s">
        <v>166</v>
      </c>
      <c r="E57" s="6" t="s">
        <v>30</v>
      </c>
      <c r="F57" s="6">
        <v>2030</v>
      </c>
      <c r="G57" s="7">
        <v>30394</v>
      </c>
      <c r="H57" s="6" t="s">
        <v>31</v>
      </c>
      <c r="I57" s="6" t="s">
        <v>32</v>
      </c>
      <c r="J57" s="6" t="s">
        <v>33</v>
      </c>
      <c r="K57" s="6" t="s">
        <v>34</v>
      </c>
      <c r="L57" s="6" t="s">
        <v>74</v>
      </c>
      <c r="M57" s="7">
        <v>39934</v>
      </c>
      <c r="N57" s="7">
        <v>32874</v>
      </c>
      <c r="O57" s="6" t="s">
        <v>36</v>
      </c>
      <c r="P57" s="6" t="s">
        <v>37</v>
      </c>
      <c r="Q57" s="6" t="s">
        <v>38</v>
      </c>
      <c r="R57" s="6" t="s">
        <v>123</v>
      </c>
      <c r="S57" s="6" t="s">
        <v>49</v>
      </c>
      <c r="T57" s="6" t="s">
        <v>41</v>
      </c>
      <c r="U57" s="6">
        <v>3.7</v>
      </c>
      <c r="V57" s="6">
        <v>5</v>
      </c>
      <c r="W57" s="6">
        <v>0</v>
      </c>
      <c r="X57" s="7">
        <v>43557</v>
      </c>
      <c r="Y57" s="6">
        <v>0</v>
      </c>
      <c r="Z57" s="8">
        <v>15</v>
      </c>
      <c r="AA57" s="9">
        <f>DATEDIF(Table1[[#This Row],[DateofBirth]],"1-1-2020","y")</f>
        <v>36</v>
      </c>
      <c r="AB57" s="10" t="str" cm="1">
        <f t="array" ref="AB57">_xlfn.IFS(Table1[[#This Row],[age]]&lt; 20,"&lt;20",Table1[[#This Row],[age]]&lt; 30,"21-30",Table1[[#This Row],[age]]&lt; 40,"31-40", Table1[[#This Row],[age]]&lt; 50,"41-50",Table1[[#This Row],[age]]&lt; 60,"51-60",Table1[[#This Row],[age]]&lt;70,"60+")</f>
        <v>31-40</v>
      </c>
    </row>
    <row r="58" spans="1:28" ht="13.5" customHeight="1">
      <c r="A58" s="5" t="s">
        <v>167</v>
      </c>
      <c r="B58" s="6">
        <v>10094</v>
      </c>
      <c r="C58" s="6">
        <v>63381</v>
      </c>
      <c r="D58" s="6" t="s">
        <v>29</v>
      </c>
      <c r="E58" s="6" t="s">
        <v>30</v>
      </c>
      <c r="F58" s="6">
        <v>2189</v>
      </c>
      <c r="G58" s="7">
        <v>28215</v>
      </c>
      <c r="H58" s="6" t="s">
        <v>53</v>
      </c>
      <c r="I58" s="6" t="s">
        <v>44</v>
      </c>
      <c r="J58" s="6" t="s">
        <v>33</v>
      </c>
      <c r="K58" s="6" t="s">
        <v>81</v>
      </c>
      <c r="L58" s="6" t="s">
        <v>35</v>
      </c>
      <c r="M58" s="7">
        <v>42125</v>
      </c>
      <c r="N58" s="7">
        <v>32874</v>
      </c>
      <c r="O58" s="6" t="s">
        <v>36</v>
      </c>
      <c r="P58" s="6" t="s">
        <v>37</v>
      </c>
      <c r="Q58" s="6" t="s">
        <v>38</v>
      </c>
      <c r="R58" s="6" t="s">
        <v>91</v>
      </c>
      <c r="S58" s="6" t="s">
        <v>49</v>
      </c>
      <c r="T58" s="6" t="s">
        <v>50</v>
      </c>
      <c r="U58" s="6">
        <v>4.7300000000000004</v>
      </c>
      <c r="V58" s="6">
        <v>5</v>
      </c>
      <c r="W58" s="6">
        <v>0</v>
      </c>
      <c r="X58" s="7">
        <v>43510</v>
      </c>
      <c r="Y58" s="6">
        <v>0</v>
      </c>
      <c r="Z58" s="8">
        <v>6</v>
      </c>
      <c r="AA58" s="9">
        <f>DATEDIF(Table1[[#This Row],[DateofBirth]],"1-1-2020","y")</f>
        <v>42</v>
      </c>
      <c r="AB58" s="10" t="str" cm="1">
        <f t="array" ref="AB58">_xlfn.IFS(Table1[[#This Row],[age]]&lt; 20,"&lt;20",Table1[[#This Row],[age]]&lt; 30,"21-30",Table1[[#This Row],[age]]&lt; 40,"31-40", Table1[[#This Row],[age]]&lt; 50,"41-50",Table1[[#This Row],[age]]&lt; 60,"51-60",Table1[[#This Row],[age]]&lt;70,"60+")</f>
        <v>41-50</v>
      </c>
    </row>
    <row r="59" spans="1:28" ht="13.5" customHeight="1">
      <c r="A59" s="5" t="s">
        <v>168</v>
      </c>
      <c r="B59" s="6">
        <v>10193</v>
      </c>
      <c r="C59" s="6">
        <v>83552</v>
      </c>
      <c r="D59" s="6" t="s">
        <v>87</v>
      </c>
      <c r="E59" s="6" t="s">
        <v>30</v>
      </c>
      <c r="F59" s="6">
        <v>1810</v>
      </c>
      <c r="G59" s="7">
        <v>31650</v>
      </c>
      <c r="H59" s="6" t="s">
        <v>31</v>
      </c>
      <c r="I59" s="6" t="s">
        <v>44</v>
      </c>
      <c r="J59" s="6" t="s">
        <v>33</v>
      </c>
      <c r="K59" s="6" t="s">
        <v>34</v>
      </c>
      <c r="L59" s="6" t="s">
        <v>35</v>
      </c>
      <c r="M59" s="7">
        <v>42093</v>
      </c>
      <c r="N59" s="7">
        <v>32874</v>
      </c>
      <c r="O59" s="6" t="s">
        <v>36</v>
      </c>
      <c r="P59" s="6" t="s">
        <v>37</v>
      </c>
      <c r="Q59" s="6" t="s">
        <v>47</v>
      </c>
      <c r="R59" s="6" t="s">
        <v>48</v>
      </c>
      <c r="S59" s="6" t="s">
        <v>49</v>
      </c>
      <c r="T59" s="6" t="s">
        <v>50</v>
      </c>
      <c r="U59" s="6">
        <v>3.04</v>
      </c>
      <c r="V59" s="6">
        <v>3</v>
      </c>
      <c r="W59" s="6">
        <v>6</v>
      </c>
      <c r="X59" s="7">
        <v>43487</v>
      </c>
      <c r="Y59" s="6">
        <v>0</v>
      </c>
      <c r="Z59" s="8">
        <v>2</v>
      </c>
      <c r="AA59" s="9">
        <f>DATEDIF(Table1[[#This Row],[DateofBirth]],"1-1-2020","y")</f>
        <v>33</v>
      </c>
      <c r="AB59" s="10" t="str" cm="1">
        <f t="array" ref="AB59">_xlfn.IFS(Table1[[#This Row],[age]]&lt; 20,"&lt;20",Table1[[#This Row],[age]]&lt; 30,"21-30",Table1[[#This Row],[age]]&lt; 40,"31-40", Table1[[#This Row],[age]]&lt; 50,"41-50",Table1[[#This Row],[age]]&lt; 60,"51-60",Table1[[#This Row],[age]]&lt;70,"60+")</f>
        <v>31-40</v>
      </c>
    </row>
    <row r="60" spans="1:28" ht="13.5" customHeight="1">
      <c r="A60" s="5" t="s">
        <v>169</v>
      </c>
      <c r="B60" s="6">
        <v>10132</v>
      </c>
      <c r="C60" s="6">
        <v>56149</v>
      </c>
      <c r="D60" s="6" t="s">
        <v>29</v>
      </c>
      <c r="E60" s="6" t="s">
        <v>30</v>
      </c>
      <c r="F60" s="6">
        <v>1821</v>
      </c>
      <c r="G60" s="7">
        <v>32054</v>
      </c>
      <c r="H60" s="6" t="s">
        <v>53</v>
      </c>
      <c r="I60" s="6" t="s">
        <v>32</v>
      </c>
      <c r="J60" s="6" t="s">
        <v>33</v>
      </c>
      <c r="K60" s="6" t="s">
        <v>34</v>
      </c>
      <c r="L60" s="6" t="s">
        <v>35</v>
      </c>
      <c r="M60" s="7">
        <v>42528</v>
      </c>
      <c r="N60" s="7">
        <v>32874</v>
      </c>
      <c r="O60" s="6" t="s">
        <v>36</v>
      </c>
      <c r="P60" s="6" t="s">
        <v>37</v>
      </c>
      <c r="Q60" s="6" t="s">
        <v>38</v>
      </c>
      <c r="R60" s="6" t="s">
        <v>39</v>
      </c>
      <c r="S60" s="6" t="s">
        <v>40</v>
      </c>
      <c r="T60" s="6" t="s">
        <v>50</v>
      </c>
      <c r="U60" s="6">
        <v>4.12</v>
      </c>
      <c r="V60" s="6">
        <v>5</v>
      </c>
      <c r="W60" s="6">
        <v>0</v>
      </c>
      <c r="X60" s="7">
        <v>43493</v>
      </c>
      <c r="Y60" s="6">
        <v>0</v>
      </c>
      <c r="Z60" s="8">
        <v>15</v>
      </c>
      <c r="AA60" s="9">
        <f>DATEDIF(Table1[[#This Row],[DateofBirth]],"1-1-2020","y")</f>
        <v>32</v>
      </c>
      <c r="AB60" s="10" t="str" cm="1">
        <f t="array" ref="AB60">_xlfn.IFS(Table1[[#This Row],[age]]&lt; 20,"&lt;20",Table1[[#This Row],[age]]&lt; 30,"21-30",Table1[[#This Row],[age]]&lt; 40,"31-40", Table1[[#This Row],[age]]&lt; 50,"41-50",Table1[[#This Row],[age]]&lt; 60,"51-60",Table1[[#This Row],[age]]&lt;70,"60+")</f>
        <v>31-40</v>
      </c>
    </row>
    <row r="61" spans="1:28" ht="13.5" customHeight="1">
      <c r="A61" s="5" t="s">
        <v>170</v>
      </c>
      <c r="B61" s="6">
        <v>10083</v>
      </c>
      <c r="C61" s="6">
        <v>92329</v>
      </c>
      <c r="D61" s="6" t="s">
        <v>171</v>
      </c>
      <c r="E61" s="6" t="s">
        <v>114</v>
      </c>
      <c r="F61" s="6">
        <v>6278</v>
      </c>
      <c r="G61" s="7">
        <v>23994</v>
      </c>
      <c r="H61" s="6" t="s">
        <v>31</v>
      </c>
      <c r="I61" s="6" t="s">
        <v>32</v>
      </c>
      <c r="J61" s="6" t="s">
        <v>33</v>
      </c>
      <c r="K61" s="6" t="s">
        <v>34</v>
      </c>
      <c r="L61" s="6" t="s">
        <v>35</v>
      </c>
      <c r="M61" s="7">
        <v>41923</v>
      </c>
      <c r="N61" s="7">
        <v>32874</v>
      </c>
      <c r="O61" s="6" t="s">
        <v>36</v>
      </c>
      <c r="P61" s="6" t="s">
        <v>37</v>
      </c>
      <c r="Q61" s="6" t="s">
        <v>47</v>
      </c>
      <c r="R61" s="6" t="s">
        <v>79</v>
      </c>
      <c r="S61" s="6" t="s">
        <v>72</v>
      </c>
      <c r="T61" s="6" t="s">
        <v>50</v>
      </c>
      <c r="U61" s="6">
        <v>5</v>
      </c>
      <c r="V61" s="6">
        <v>3</v>
      </c>
      <c r="W61" s="6">
        <v>4</v>
      </c>
      <c r="X61" s="7">
        <v>43497</v>
      </c>
      <c r="Y61" s="6">
        <v>0</v>
      </c>
      <c r="Z61" s="8">
        <v>5</v>
      </c>
      <c r="AA61" s="9">
        <f>DATEDIF(Table1[[#This Row],[DateofBirth]],"1-1-2020","y")</f>
        <v>54</v>
      </c>
      <c r="AB61" s="10" t="str" cm="1">
        <f t="array" ref="AB61">_xlfn.IFS(Table1[[#This Row],[age]]&lt; 20,"&lt;20",Table1[[#This Row],[age]]&lt; 30,"21-30",Table1[[#This Row],[age]]&lt; 40,"31-40", Table1[[#This Row],[age]]&lt; 50,"41-50",Table1[[#This Row],[age]]&lt; 60,"51-60",Table1[[#This Row],[age]]&lt;70,"60+")</f>
        <v>51-60</v>
      </c>
    </row>
    <row r="62" spans="1:28" ht="13.5" customHeight="1">
      <c r="A62" s="5" t="s">
        <v>172</v>
      </c>
      <c r="B62" s="6">
        <v>10099</v>
      </c>
      <c r="C62" s="6">
        <v>65729</v>
      </c>
      <c r="D62" s="6" t="s">
        <v>173</v>
      </c>
      <c r="E62" s="6" t="s">
        <v>145</v>
      </c>
      <c r="F62" s="6">
        <v>5473</v>
      </c>
      <c r="G62" s="7">
        <v>32982</v>
      </c>
      <c r="H62" s="6" t="s">
        <v>53</v>
      </c>
      <c r="I62" s="6" t="s">
        <v>32</v>
      </c>
      <c r="J62" s="6" t="s">
        <v>33</v>
      </c>
      <c r="K62" s="6" t="s">
        <v>34</v>
      </c>
      <c r="L62" s="6" t="s">
        <v>35</v>
      </c>
      <c r="M62" s="7">
        <v>41764</v>
      </c>
      <c r="N62" s="7">
        <v>32874</v>
      </c>
      <c r="O62" s="6" t="s">
        <v>36</v>
      </c>
      <c r="P62" s="6" t="s">
        <v>37</v>
      </c>
      <c r="Q62" s="6" t="s">
        <v>133</v>
      </c>
      <c r="R62" s="6" t="s">
        <v>174</v>
      </c>
      <c r="S62" s="6" t="s">
        <v>49</v>
      </c>
      <c r="T62" s="6" t="s">
        <v>50</v>
      </c>
      <c r="U62" s="6">
        <v>4.62</v>
      </c>
      <c r="V62" s="6">
        <v>4</v>
      </c>
      <c r="W62" s="6">
        <v>0</v>
      </c>
      <c r="X62" s="7">
        <v>43489</v>
      </c>
      <c r="Y62" s="6">
        <v>0</v>
      </c>
      <c r="Z62" s="8">
        <v>8</v>
      </c>
      <c r="AA62" s="9">
        <f>DATEDIF(Table1[[#This Row],[DateofBirth]],"1-1-2020","y")</f>
        <v>29</v>
      </c>
      <c r="AB62" s="10" t="str" cm="1">
        <f t="array" ref="AB62">_xlfn.IFS(Table1[[#This Row],[age]]&lt; 20,"&lt;20",Table1[[#This Row],[age]]&lt; 30,"21-30",Table1[[#This Row],[age]]&lt; 40,"31-40", Table1[[#This Row],[age]]&lt; 50,"41-50",Table1[[#This Row],[age]]&lt; 60,"51-60",Table1[[#This Row],[age]]&lt;70,"60+")</f>
        <v>21-30</v>
      </c>
    </row>
    <row r="63" spans="1:28" ht="13.5" customHeight="1">
      <c r="A63" s="5" t="s">
        <v>175</v>
      </c>
      <c r="B63" s="6">
        <v>10212</v>
      </c>
      <c r="C63" s="6">
        <v>85028</v>
      </c>
      <c r="D63" s="6" t="s">
        <v>171</v>
      </c>
      <c r="E63" s="6" t="s">
        <v>114</v>
      </c>
      <c r="F63" s="6">
        <v>6033</v>
      </c>
      <c r="G63" s="7">
        <v>19011</v>
      </c>
      <c r="H63" s="6" t="s">
        <v>53</v>
      </c>
      <c r="I63" s="6" t="s">
        <v>44</v>
      </c>
      <c r="J63" s="6" t="s">
        <v>33</v>
      </c>
      <c r="K63" s="6" t="s">
        <v>34</v>
      </c>
      <c r="L63" s="6" t="s">
        <v>35</v>
      </c>
      <c r="M63" s="7">
        <v>41923</v>
      </c>
      <c r="N63" s="7">
        <v>32874</v>
      </c>
      <c r="O63" s="6" t="s">
        <v>36</v>
      </c>
      <c r="P63" s="6" t="s">
        <v>37</v>
      </c>
      <c r="Q63" s="6" t="s">
        <v>47</v>
      </c>
      <c r="R63" s="6" t="s">
        <v>79</v>
      </c>
      <c r="S63" s="6" t="s">
        <v>40</v>
      </c>
      <c r="T63" s="6" t="s">
        <v>50</v>
      </c>
      <c r="U63" s="6">
        <v>3.1</v>
      </c>
      <c r="V63" s="6">
        <v>5</v>
      </c>
      <c r="W63" s="6">
        <v>8</v>
      </c>
      <c r="X63" s="7">
        <v>43801</v>
      </c>
      <c r="Y63" s="6">
        <v>0</v>
      </c>
      <c r="Z63" s="8">
        <v>19</v>
      </c>
      <c r="AA63" s="9">
        <f>DATEDIF(Table1[[#This Row],[DateofBirth]],"1-1-2020","y")</f>
        <v>67</v>
      </c>
      <c r="AB63" s="10" t="str" cm="1">
        <f t="array" ref="AB63">_xlfn.IFS(Table1[[#This Row],[age]]&lt; 20,"&lt;20",Table1[[#This Row],[age]]&lt; 30,"21-30",Table1[[#This Row],[age]]&lt; 40,"31-40", Table1[[#This Row],[age]]&lt; 50,"41-50",Table1[[#This Row],[age]]&lt; 60,"51-60",Table1[[#This Row],[age]]&lt;70,"60+")</f>
        <v>60+</v>
      </c>
    </row>
    <row r="64" spans="1:28" ht="13.5" customHeight="1">
      <c r="A64" s="5" t="s">
        <v>176</v>
      </c>
      <c r="B64" s="6">
        <v>10056</v>
      </c>
      <c r="C64" s="6">
        <v>57583</v>
      </c>
      <c r="D64" s="6" t="s">
        <v>29</v>
      </c>
      <c r="E64" s="6" t="s">
        <v>30</v>
      </c>
      <c r="F64" s="6">
        <v>2110</v>
      </c>
      <c r="G64" s="7">
        <v>28621</v>
      </c>
      <c r="H64" s="6" t="s">
        <v>53</v>
      </c>
      <c r="I64" s="6" t="s">
        <v>44</v>
      </c>
      <c r="J64" s="6" t="s">
        <v>33</v>
      </c>
      <c r="K64" s="6" t="s">
        <v>34</v>
      </c>
      <c r="L64" s="6" t="s">
        <v>35</v>
      </c>
      <c r="M64" s="7">
        <v>40946</v>
      </c>
      <c r="N64" s="7">
        <v>32874</v>
      </c>
      <c r="O64" s="6" t="s">
        <v>36</v>
      </c>
      <c r="P64" s="6" t="s">
        <v>37</v>
      </c>
      <c r="Q64" s="6" t="s">
        <v>38</v>
      </c>
      <c r="R64" s="6" t="s">
        <v>57</v>
      </c>
      <c r="S64" s="6" t="s">
        <v>49</v>
      </c>
      <c r="T64" s="6" t="s">
        <v>50</v>
      </c>
      <c r="U64" s="6">
        <v>5</v>
      </c>
      <c r="V64" s="6">
        <v>3</v>
      </c>
      <c r="W64" s="6">
        <v>0</v>
      </c>
      <c r="X64" s="7">
        <v>43521</v>
      </c>
      <c r="Y64" s="6">
        <v>0</v>
      </c>
      <c r="Z64" s="8">
        <v>1</v>
      </c>
      <c r="AA64" s="9">
        <f>DATEDIF(Table1[[#This Row],[DateofBirth]],"1-1-2020","y")</f>
        <v>41</v>
      </c>
      <c r="AB64" s="10" t="str" cm="1">
        <f t="array" ref="AB64">_xlfn.IFS(Table1[[#This Row],[age]]&lt; 20,"&lt;20",Table1[[#This Row],[age]]&lt; 30,"21-30",Table1[[#This Row],[age]]&lt; 40,"31-40", Table1[[#This Row],[age]]&lt; 50,"41-50",Table1[[#This Row],[age]]&lt; 60,"51-60",Table1[[#This Row],[age]]&lt;70,"60+")</f>
        <v>41-50</v>
      </c>
    </row>
    <row r="65" spans="1:28" ht="13.5" customHeight="1">
      <c r="A65" s="5" t="s">
        <v>177</v>
      </c>
      <c r="B65" s="6">
        <v>10143</v>
      </c>
      <c r="C65" s="6">
        <v>56294</v>
      </c>
      <c r="D65" s="6" t="s">
        <v>52</v>
      </c>
      <c r="E65" s="6" t="s">
        <v>30</v>
      </c>
      <c r="F65" s="6">
        <v>2458</v>
      </c>
      <c r="G65" s="7">
        <v>29112</v>
      </c>
      <c r="H65" s="6" t="s">
        <v>31</v>
      </c>
      <c r="I65" s="6" t="s">
        <v>32</v>
      </c>
      <c r="J65" s="6" t="s">
        <v>99</v>
      </c>
      <c r="K65" s="6" t="s">
        <v>34</v>
      </c>
      <c r="L65" s="6" t="s">
        <v>90</v>
      </c>
      <c r="M65" s="7">
        <v>40735</v>
      </c>
      <c r="N65" s="7">
        <v>32874</v>
      </c>
      <c r="O65" s="6" t="s">
        <v>36</v>
      </c>
      <c r="P65" s="6" t="s">
        <v>37</v>
      </c>
      <c r="Q65" s="6" t="s">
        <v>38</v>
      </c>
      <c r="R65" s="6" t="s">
        <v>55</v>
      </c>
      <c r="S65" s="6" t="s">
        <v>40</v>
      </c>
      <c r="T65" s="6" t="s">
        <v>50</v>
      </c>
      <c r="U65" s="6">
        <v>3.96</v>
      </c>
      <c r="V65" s="6">
        <v>4</v>
      </c>
      <c r="W65" s="6">
        <v>0</v>
      </c>
      <c r="X65" s="7">
        <v>43523</v>
      </c>
      <c r="Y65" s="6">
        <v>0</v>
      </c>
      <c r="Z65" s="8">
        <v>6</v>
      </c>
      <c r="AA65" s="9">
        <f>DATEDIF(Table1[[#This Row],[DateofBirth]],"1-1-2020","y")</f>
        <v>40</v>
      </c>
      <c r="AB65" s="10" t="str" cm="1">
        <f t="array" ref="AB65">_xlfn.IFS(Table1[[#This Row],[age]]&lt; 20,"&lt;20",Table1[[#This Row],[age]]&lt; 30,"21-30",Table1[[#This Row],[age]]&lt; 40,"31-40", Table1[[#This Row],[age]]&lt; 50,"41-50",Table1[[#This Row],[age]]&lt; 60,"51-60",Table1[[#This Row],[age]]&lt;70,"60+")</f>
        <v>41-50</v>
      </c>
    </row>
    <row r="66" spans="1:28" ht="13.5" customHeight="1">
      <c r="A66" s="5" t="s">
        <v>178</v>
      </c>
      <c r="B66" s="6">
        <v>10311</v>
      </c>
      <c r="C66" s="6">
        <v>56991</v>
      </c>
      <c r="D66" s="6" t="s">
        <v>29</v>
      </c>
      <c r="E66" s="6" t="s">
        <v>30</v>
      </c>
      <c r="F66" s="6">
        <v>2138</v>
      </c>
      <c r="G66" s="7">
        <v>32248</v>
      </c>
      <c r="H66" s="6" t="s">
        <v>31</v>
      </c>
      <c r="I66" s="6" t="s">
        <v>44</v>
      </c>
      <c r="J66" s="6" t="s">
        <v>33</v>
      </c>
      <c r="K66" s="6" t="s">
        <v>34</v>
      </c>
      <c r="L66" s="6" t="s">
        <v>35</v>
      </c>
      <c r="M66" s="7">
        <v>43350</v>
      </c>
      <c r="N66" s="7">
        <v>32874</v>
      </c>
      <c r="O66" s="6" t="s">
        <v>36</v>
      </c>
      <c r="P66" s="6" t="s">
        <v>37</v>
      </c>
      <c r="Q66" s="6" t="s">
        <v>38</v>
      </c>
      <c r="R66" s="6" t="s">
        <v>75</v>
      </c>
      <c r="S66" s="6" t="s">
        <v>49</v>
      </c>
      <c r="T66" s="6" t="s">
        <v>50</v>
      </c>
      <c r="U66" s="6">
        <v>4.3</v>
      </c>
      <c r="V66" s="6">
        <v>4</v>
      </c>
      <c r="W66" s="6">
        <v>3</v>
      </c>
      <c r="X66" s="7">
        <v>43496</v>
      </c>
      <c r="Y66" s="6">
        <v>2</v>
      </c>
      <c r="Z66" s="8">
        <v>2</v>
      </c>
      <c r="AA66" s="9">
        <f>DATEDIF(Table1[[#This Row],[DateofBirth]],"1-1-2020","y")</f>
        <v>31</v>
      </c>
      <c r="AB66" s="10" t="str" cm="1">
        <f t="array" ref="AB66">_xlfn.IFS(Table1[[#This Row],[age]]&lt; 20,"&lt;20",Table1[[#This Row],[age]]&lt; 30,"21-30",Table1[[#This Row],[age]]&lt; 40,"31-40", Table1[[#This Row],[age]]&lt; 50,"41-50",Table1[[#This Row],[age]]&lt; 60,"51-60",Table1[[#This Row],[age]]&lt;70,"60+")</f>
        <v>31-40</v>
      </c>
    </row>
    <row r="67" spans="1:28" ht="13.5" customHeight="1">
      <c r="A67" s="5" t="s">
        <v>179</v>
      </c>
      <c r="B67" s="6">
        <v>10070</v>
      </c>
      <c r="C67" s="6">
        <v>55722</v>
      </c>
      <c r="D67" s="6" t="s">
        <v>29</v>
      </c>
      <c r="E67" s="6" t="s">
        <v>30</v>
      </c>
      <c r="F67" s="6">
        <v>1810</v>
      </c>
      <c r="G67" s="7">
        <v>28429</v>
      </c>
      <c r="H67" s="6" t="s">
        <v>31</v>
      </c>
      <c r="I67" s="6" t="s">
        <v>44</v>
      </c>
      <c r="J67" s="6" t="s">
        <v>33</v>
      </c>
      <c r="K67" s="6" t="s">
        <v>34</v>
      </c>
      <c r="L67" s="6" t="s">
        <v>35</v>
      </c>
      <c r="M67" s="7">
        <v>40679</v>
      </c>
      <c r="N67" s="7">
        <v>42588</v>
      </c>
      <c r="O67" s="6" t="s">
        <v>85</v>
      </c>
      <c r="P67" s="6" t="s">
        <v>46</v>
      </c>
      <c r="Q67" s="6" t="s">
        <v>38</v>
      </c>
      <c r="R67" s="6" t="s">
        <v>61</v>
      </c>
      <c r="S67" s="6" t="s">
        <v>49</v>
      </c>
      <c r="T67" s="6" t="s">
        <v>50</v>
      </c>
      <c r="U67" s="6">
        <v>5</v>
      </c>
      <c r="V67" s="6">
        <v>4</v>
      </c>
      <c r="W67" s="6">
        <v>0</v>
      </c>
      <c r="X67" s="7">
        <v>42404</v>
      </c>
      <c r="Y67" s="6">
        <v>0</v>
      </c>
      <c r="Z67" s="8">
        <v>14</v>
      </c>
      <c r="AA67" s="9">
        <f>DATEDIF(Table1[[#This Row],[DateofBirth]],"1-1-2020","y")</f>
        <v>42</v>
      </c>
      <c r="AB67" s="10" t="str" cm="1">
        <f t="array" ref="AB67">_xlfn.IFS(Table1[[#This Row],[age]]&lt; 20,"&lt;20",Table1[[#This Row],[age]]&lt; 30,"21-30",Table1[[#This Row],[age]]&lt; 40,"31-40", Table1[[#This Row],[age]]&lt; 50,"41-50",Table1[[#This Row],[age]]&lt; 60,"51-60",Table1[[#This Row],[age]]&lt;70,"60+")</f>
        <v>41-50</v>
      </c>
    </row>
    <row r="68" spans="1:28" ht="13.5" customHeight="1">
      <c r="A68" s="5" t="s">
        <v>180</v>
      </c>
      <c r="B68" s="6">
        <v>10155</v>
      </c>
      <c r="C68" s="6">
        <v>101199</v>
      </c>
      <c r="D68" s="6" t="s">
        <v>66</v>
      </c>
      <c r="E68" s="6" t="s">
        <v>30</v>
      </c>
      <c r="F68" s="6">
        <v>2176</v>
      </c>
      <c r="G68" s="7">
        <v>28982</v>
      </c>
      <c r="H68" s="6" t="s">
        <v>53</v>
      </c>
      <c r="I68" s="6" t="s">
        <v>32</v>
      </c>
      <c r="J68" s="6" t="s">
        <v>33</v>
      </c>
      <c r="K68" s="6" t="s">
        <v>34</v>
      </c>
      <c r="L68" s="6" t="s">
        <v>74</v>
      </c>
      <c r="M68" s="7">
        <v>41153</v>
      </c>
      <c r="N68" s="7">
        <v>32874</v>
      </c>
      <c r="O68" s="6" t="s">
        <v>36</v>
      </c>
      <c r="P68" s="6" t="s">
        <v>37</v>
      </c>
      <c r="Q68" s="6" t="s">
        <v>67</v>
      </c>
      <c r="R68" s="6" t="s">
        <v>68</v>
      </c>
      <c r="S68" s="6" t="s">
        <v>109</v>
      </c>
      <c r="T68" s="6" t="s">
        <v>50</v>
      </c>
      <c r="U68" s="6">
        <v>3.79</v>
      </c>
      <c r="V68" s="6">
        <v>5</v>
      </c>
      <c r="W68" s="6">
        <v>5</v>
      </c>
      <c r="X68" s="7">
        <v>43490</v>
      </c>
      <c r="Y68" s="6">
        <v>0</v>
      </c>
      <c r="Z68" s="8">
        <v>8</v>
      </c>
      <c r="AA68" s="9">
        <f>DATEDIF(Table1[[#This Row],[DateofBirth]],"1-1-2020","y")</f>
        <v>40</v>
      </c>
      <c r="AB68" s="10" t="str" cm="1">
        <f t="array" ref="AB68">_xlfn.IFS(Table1[[#This Row],[age]]&lt; 20,"&lt;20",Table1[[#This Row],[age]]&lt; 30,"21-30",Table1[[#This Row],[age]]&lt; 40,"31-40", Table1[[#This Row],[age]]&lt; 50,"41-50",Table1[[#This Row],[age]]&lt; 60,"51-60",Table1[[#This Row],[age]]&lt;70,"60+")</f>
        <v>41-50</v>
      </c>
    </row>
    <row r="69" spans="1:28" ht="13.5" customHeight="1">
      <c r="A69" s="5" t="s">
        <v>181</v>
      </c>
      <c r="B69" s="6">
        <v>10306</v>
      </c>
      <c r="C69" s="6">
        <v>61568</v>
      </c>
      <c r="D69" s="6" t="s">
        <v>131</v>
      </c>
      <c r="E69" s="6" t="s">
        <v>182</v>
      </c>
      <c r="F69" s="6">
        <v>36006</v>
      </c>
      <c r="G69" s="7">
        <v>27436</v>
      </c>
      <c r="H69" s="6" t="s">
        <v>31</v>
      </c>
      <c r="I69" s="6" t="s">
        <v>32</v>
      </c>
      <c r="J69" s="6" t="s">
        <v>33</v>
      </c>
      <c r="K69" s="6" t="s">
        <v>34</v>
      </c>
      <c r="L69" s="6" t="s">
        <v>90</v>
      </c>
      <c r="M69" s="7">
        <v>41911</v>
      </c>
      <c r="N69" s="7">
        <v>32874</v>
      </c>
      <c r="O69" s="6" t="s">
        <v>36</v>
      </c>
      <c r="P69" s="6" t="s">
        <v>37</v>
      </c>
      <c r="Q69" s="6" t="s">
        <v>133</v>
      </c>
      <c r="R69" s="6" t="s">
        <v>134</v>
      </c>
      <c r="S69" s="6" t="s">
        <v>49</v>
      </c>
      <c r="T69" s="6" t="s">
        <v>183</v>
      </c>
      <c r="U69" s="6">
        <v>1.93</v>
      </c>
      <c r="V69" s="6">
        <v>3</v>
      </c>
      <c r="W69" s="6">
        <v>0</v>
      </c>
      <c r="X69" s="7">
        <v>43495</v>
      </c>
      <c r="Y69" s="6">
        <v>6</v>
      </c>
      <c r="Z69" s="8">
        <v>5</v>
      </c>
      <c r="AA69" s="9">
        <f>DATEDIF(Table1[[#This Row],[DateofBirth]],"1-1-2020","y")</f>
        <v>44</v>
      </c>
      <c r="AB69" s="10" t="str" cm="1">
        <f t="array" ref="AB69">_xlfn.IFS(Table1[[#This Row],[age]]&lt; 20,"&lt;20",Table1[[#This Row],[age]]&lt; 30,"21-30",Table1[[#This Row],[age]]&lt; 40,"31-40", Table1[[#This Row],[age]]&lt; 50,"41-50",Table1[[#This Row],[age]]&lt; 60,"51-60",Table1[[#This Row],[age]]&lt;70,"60+")</f>
        <v>41-50</v>
      </c>
    </row>
    <row r="70" spans="1:28" ht="13.5" customHeight="1">
      <c r="A70" s="5" t="s">
        <v>184</v>
      </c>
      <c r="B70" s="6">
        <v>10100</v>
      </c>
      <c r="C70" s="6">
        <v>58275</v>
      </c>
      <c r="D70" s="6" t="s">
        <v>52</v>
      </c>
      <c r="E70" s="6" t="s">
        <v>30</v>
      </c>
      <c r="F70" s="6">
        <v>2343</v>
      </c>
      <c r="G70" s="7">
        <v>18684</v>
      </c>
      <c r="H70" s="6" t="s">
        <v>53</v>
      </c>
      <c r="I70" s="6" t="s">
        <v>129</v>
      </c>
      <c r="J70" s="6" t="s">
        <v>33</v>
      </c>
      <c r="K70" s="6" t="s">
        <v>34</v>
      </c>
      <c r="L70" s="6" t="s">
        <v>74</v>
      </c>
      <c r="M70" s="7">
        <v>40637</v>
      </c>
      <c r="N70" s="7">
        <v>42105</v>
      </c>
      <c r="O70" s="6" t="s">
        <v>185</v>
      </c>
      <c r="P70" s="6" t="s">
        <v>46</v>
      </c>
      <c r="Q70" s="6" t="s">
        <v>38</v>
      </c>
      <c r="R70" s="6" t="s">
        <v>91</v>
      </c>
      <c r="S70" s="6" t="s">
        <v>62</v>
      </c>
      <c r="T70" s="6" t="s">
        <v>50</v>
      </c>
      <c r="U70" s="6">
        <v>4.62</v>
      </c>
      <c r="V70" s="6">
        <v>5</v>
      </c>
      <c r="W70" s="6">
        <v>0</v>
      </c>
      <c r="X70" s="7">
        <v>42160</v>
      </c>
      <c r="Y70" s="6">
        <v>0</v>
      </c>
      <c r="Z70" s="8">
        <v>1</v>
      </c>
      <c r="AA70" s="9">
        <f>DATEDIF(Table1[[#This Row],[DateofBirth]],"1-1-2020","y")</f>
        <v>68</v>
      </c>
      <c r="AB70" s="10" t="str" cm="1">
        <f t="array" ref="AB70">_xlfn.IFS(Table1[[#This Row],[age]]&lt; 20,"&lt;20",Table1[[#This Row],[age]]&lt; 30,"21-30",Table1[[#This Row],[age]]&lt; 40,"31-40", Table1[[#This Row],[age]]&lt; 50,"41-50",Table1[[#This Row],[age]]&lt; 60,"51-60",Table1[[#This Row],[age]]&lt;70,"60+")</f>
        <v>60+</v>
      </c>
    </row>
    <row r="71" spans="1:28" ht="13.5" customHeight="1">
      <c r="A71" s="5" t="s">
        <v>186</v>
      </c>
      <c r="B71" s="6">
        <v>10310</v>
      </c>
      <c r="C71" s="6">
        <v>53189</v>
      </c>
      <c r="D71" s="6" t="s">
        <v>29</v>
      </c>
      <c r="E71" s="6" t="s">
        <v>30</v>
      </c>
      <c r="F71" s="6">
        <v>2061</v>
      </c>
      <c r="G71" s="7">
        <v>24581</v>
      </c>
      <c r="H71" s="6" t="s">
        <v>31</v>
      </c>
      <c r="I71" s="6" t="s">
        <v>44</v>
      </c>
      <c r="J71" s="6" t="s">
        <v>33</v>
      </c>
      <c r="K71" s="6" t="s">
        <v>34</v>
      </c>
      <c r="L71" s="6" t="s">
        <v>35</v>
      </c>
      <c r="M71" s="7">
        <v>41827</v>
      </c>
      <c r="N71" s="7">
        <v>32874</v>
      </c>
      <c r="O71" s="6" t="s">
        <v>36</v>
      </c>
      <c r="P71" s="6" t="s">
        <v>37</v>
      </c>
      <c r="Q71" s="6" t="s">
        <v>38</v>
      </c>
      <c r="R71" s="6" t="s">
        <v>64</v>
      </c>
      <c r="S71" s="6" t="s">
        <v>49</v>
      </c>
      <c r="T71" s="6" t="s">
        <v>183</v>
      </c>
      <c r="U71" s="6">
        <v>1.1200000000000001</v>
      </c>
      <c r="V71" s="6">
        <v>2</v>
      </c>
      <c r="W71" s="6">
        <v>0</v>
      </c>
      <c r="X71" s="7">
        <v>43496</v>
      </c>
      <c r="Y71" s="6">
        <v>4</v>
      </c>
      <c r="Z71" s="8">
        <v>9</v>
      </c>
      <c r="AA71" s="9">
        <f>DATEDIF(Table1[[#This Row],[DateofBirth]],"1-1-2020","y")</f>
        <v>52</v>
      </c>
      <c r="AB71" s="10" t="str" cm="1">
        <f t="array" ref="AB71">_xlfn.IFS(Table1[[#This Row],[age]]&lt; 20,"&lt;20",Table1[[#This Row],[age]]&lt; 30,"21-30",Table1[[#This Row],[age]]&lt; 40,"31-40", Table1[[#This Row],[age]]&lt; 50,"41-50",Table1[[#This Row],[age]]&lt; 60,"51-60",Table1[[#This Row],[age]]&lt;70,"60+")</f>
        <v>51-60</v>
      </c>
    </row>
    <row r="72" spans="1:28" ht="13.5" customHeight="1">
      <c r="A72" s="5" t="s">
        <v>187</v>
      </c>
      <c r="B72" s="6">
        <v>10197</v>
      </c>
      <c r="C72" s="6">
        <v>96820</v>
      </c>
      <c r="D72" s="6" t="s">
        <v>188</v>
      </c>
      <c r="E72" s="6" t="s">
        <v>30</v>
      </c>
      <c r="F72" s="6">
        <v>2045</v>
      </c>
      <c r="G72" s="7">
        <v>30415</v>
      </c>
      <c r="H72" s="6" t="s">
        <v>31</v>
      </c>
      <c r="I72" s="6" t="s">
        <v>32</v>
      </c>
      <c r="J72" s="6" t="s">
        <v>33</v>
      </c>
      <c r="K72" s="6" t="s">
        <v>34</v>
      </c>
      <c r="L72" s="6" t="s">
        <v>35</v>
      </c>
      <c r="M72" s="7">
        <v>42781</v>
      </c>
      <c r="N72" s="7">
        <v>32874</v>
      </c>
      <c r="O72" s="6" t="s">
        <v>36</v>
      </c>
      <c r="P72" s="6" t="s">
        <v>37</v>
      </c>
      <c r="Q72" s="6" t="s">
        <v>47</v>
      </c>
      <c r="R72" s="6" t="s">
        <v>189</v>
      </c>
      <c r="S72" s="6" t="s">
        <v>49</v>
      </c>
      <c r="T72" s="6" t="s">
        <v>50</v>
      </c>
      <c r="U72" s="6">
        <v>3.01</v>
      </c>
      <c r="V72" s="6">
        <v>5</v>
      </c>
      <c r="W72" s="6">
        <v>7</v>
      </c>
      <c r="X72" s="7">
        <v>43488</v>
      </c>
      <c r="Y72" s="6">
        <v>0</v>
      </c>
      <c r="Z72" s="8">
        <v>15</v>
      </c>
      <c r="AA72" s="9">
        <f>DATEDIF(Table1[[#This Row],[DateofBirth]],"1-1-2020","y")</f>
        <v>36</v>
      </c>
      <c r="AB72" s="10" t="str" cm="1">
        <f t="array" ref="AB72">_xlfn.IFS(Table1[[#This Row],[age]]&lt; 20,"&lt;20",Table1[[#This Row],[age]]&lt; 30,"21-30",Table1[[#This Row],[age]]&lt; 40,"31-40", Table1[[#This Row],[age]]&lt; 50,"41-50",Table1[[#This Row],[age]]&lt; 60,"51-60",Table1[[#This Row],[age]]&lt;70,"60+")</f>
        <v>31-40</v>
      </c>
    </row>
    <row r="73" spans="1:28" ht="13.5" customHeight="1">
      <c r="A73" s="5" t="s">
        <v>190</v>
      </c>
      <c r="B73" s="6">
        <v>10276</v>
      </c>
      <c r="C73" s="6">
        <v>51259</v>
      </c>
      <c r="D73" s="6" t="s">
        <v>29</v>
      </c>
      <c r="E73" s="6" t="s">
        <v>30</v>
      </c>
      <c r="F73" s="6">
        <v>2180</v>
      </c>
      <c r="G73" s="7">
        <v>30270</v>
      </c>
      <c r="H73" s="6" t="s">
        <v>31</v>
      </c>
      <c r="I73" s="6" t="s">
        <v>32</v>
      </c>
      <c r="J73" s="6" t="s">
        <v>33</v>
      </c>
      <c r="K73" s="6" t="s">
        <v>34</v>
      </c>
      <c r="L73" s="6" t="s">
        <v>35</v>
      </c>
      <c r="M73" s="7">
        <v>41978</v>
      </c>
      <c r="N73" s="7">
        <v>32874</v>
      </c>
      <c r="O73" s="6" t="s">
        <v>36</v>
      </c>
      <c r="P73" s="6" t="s">
        <v>37</v>
      </c>
      <c r="Q73" s="6" t="s">
        <v>38</v>
      </c>
      <c r="R73" s="6" t="s">
        <v>71</v>
      </c>
      <c r="S73" s="6" t="s">
        <v>49</v>
      </c>
      <c r="T73" s="6" t="s">
        <v>50</v>
      </c>
      <c r="U73" s="6">
        <v>4.3</v>
      </c>
      <c r="V73" s="6">
        <v>4</v>
      </c>
      <c r="W73" s="6">
        <v>0</v>
      </c>
      <c r="X73" s="7">
        <v>43515</v>
      </c>
      <c r="Y73" s="6">
        <v>0</v>
      </c>
      <c r="Z73" s="8">
        <v>1</v>
      </c>
      <c r="AA73" s="9">
        <f>DATEDIF(Table1[[#This Row],[DateofBirth]],"1-1-2020","y")</f>
        <v>37</v>
      </c>
      <c r="AB73" s="10" t="str" cm="1">
        <f t="array" ref="AB73">_xlfn.IFS(Table1[[#This Row],[age]]&lt; 20,"&lt;20",Table1[[#This Row],[age]]&lt; 30,"21-30",Table1[[#This Row],[age]]&lt; 40,"31-40", Table1[[#This Row],[age]]&lt; 50,"41-50",Table1[[#This Row],[age]]&lt; 60,"51-60",Table1[[#This Row],[age]]&lt;70,"60+")</f>
        <v>31-40</v>
      </c>
    </row>
    <row r="74" spans="1:28" ht="13.5" customHeight="1">
      <c r="A74" s="5" t="s">
        <v>191</v>
      </c>
      <c r="B74" s="6">
        <v>10304</v>
      </c>
      <c r="C74" s="6">
        <v>59231</v>
      </c>
      <c r="D74" s="6" t="s">
        <v>131</v>
      </c>
      <c r="E74" s="6" t="s">
        <v>192</v>
      </c>
      <c r="F74" s="6">
        <v>98052</v>
      </c>
      <c r="G74" s="7">
        <v>31911</v>
      </c>
      <c r="H74" s="6" t="s">
        <v>53</v>
      </c>
      <c r="I74" s="6" t="s">
        <v>32</v>
      </c>
      <c r="J74" s="6" t="s">
        <v>33</v>
      </c>
      <c r="K74" s="6" t="s">
        <v>81</v>
      </c>
      <c r="L74" s="6" t="s">
        <v>35</v>
      </c>
      <c r="M74" s="7">
        <v>40959</v>
      </c>
      <c r="N74" s="7">
        <v>32874</v>
      </c>
      <c r="O74" s="6" t="s">
        <v>36</v>
      </c>
      <c r="P74" s="6" t="s">
        <v>37</v>
      </c>
      <c r="Q74" s="6" t="s">
        <v>133</v>
      </c>
      <c r="R74" s="6" t="s">
        <v>134</v>
      </c>
      <c r="S74" s="6" t="s">
        <v>193</v>
      </c>
      <c r="T74" s="6" t="s">
        <v>183</v>
      </c>
      <c r="U74" s="6">
        <v>2.2999999999999998</v>
      </c>
      <c r="V74" s="6">
        <v>1</v>
      </c>
      <c r="W74" s="6">
        <v>0</v>
      </c>
      <c r="X74" s="7">
        <v>43494</v>
      </c>
      <c r="Y74" s="6">
        <v>2</v>
      </c>
      <c r="Z74" s="8">
        <v>17</v>
      </c>
      <c r="AA74" s="9">
        <f>DATEDIF(Table1[[#This Row],[DateofBirth]],"1-1-2020","y")</f>
        <v>32</v>
      </c>
      <c r="AB74" s="10" t="str" cm="1">
        <f t="array" ref="AB74">_xlfn.IFS(Table1[[#This Row],[age]]&lt; 20,"&lt;20",Table1[[#This Row],[age]]&lt; 30,"21-30",Table1[[#This Row],[age]]&lt; 40,"31-40", Table1[[#This Row],[age]]&lt; 50,"41-50",Table1[[#This Row],[age]]&lt; 60,"51-60",Table1[[#This Row],[age]]&lt;70,"60+")</f>
        <v>31-40</v>
      </c>
    </row>
    <row r="75" spans="1:28" ht="13.5" customHeight="1">
      <c r="A75" s="5" t="s">
        <v>194</v>
      </c>
      <c r="B75" s="6">
        <v>10284</v>
      </c>
      <c r="C75" s="6">
        <v>61584</v>
      </c>
      <c r="D75" s="6" t="s">
        <v>29</v>
      </c>
      <c r="E75" s="6" t="s">
        <v>30</v>
      </c>
      <c r="F75" s="6">
        <v>2351</v>
      </c>
      <c r="G75" s="7">
        <v>28533</v>
      </c>
      <c r="H75" s="6" t="s">
        <v>53</v>
      </c>
      <c r="I75" s="6" t="s">
        <v>44</v>
      </c>
      <c r="J75" s="6" t="s">
        <v>33</v>
      </c>
      <c r="K75" s="6" t="s">
        <v>34</v>
      </c>
      <c r="L75" s="6" t="s">
        <v>74</v>
      </c>
      <c r="M75" s="7">
        <v>41456</v>
      </c>
      <c r="N75" s="7">
        <v>32874</v>
      </c>
      <c r="O75" s="6" t="s">
        <v>36</v>
      </c>
      <c r="P75" s="6" t="s">
        <v>37</v>
      </c>
      <c r="Q75" s="6" t="s">
        <v>38</v>
      </c>
      <c r="R75" s="6" t="s">
        <v>75</v>
      </c>
      <c r="S75" s="6" t="s">
        <v>49</v>
      </c>
      <c r="T75" s="6" t="s">
        <v>110</v>
      </c>
      <c r="U75" s="6">
        <v>3.88</v>
      </c>
      <c r="V75" s="6">
        <v>4</v>
      </c>
      <c r="W75" s="6">
        <v>0</v>
      </c>
      <c r="X75" s="7">
        <v>43483</v>
      </c>
      <c r="Y75" s="6">
        <v>0</v>
      </c>
      <c r="Z75" s="8">
        <v>6</v>
      </c>
      <c r="AA75" s="9">
        <f>DATEDIF(Table1[[#This Row],[DateofBirth]],"1-1-2020","y")</f>
        <v>41</v>
      </c>
      <c r="AB75" s="10" t="str" cm="1">
        <f t="array" ref="AB75">_xlfn.IFS(Table1[[#This Row],[age]]&lt; 20,"&lt;20",Table1[[#This Row],[age]]&lt; 30,"21-30",Table1[[#This Row],[age]]&lt; 40,"31-40", Table1[[#This Row],[age]]&lt; 50,"41-50",Table1[[#This Row],[age]]&lt; 60,"51-60",Table1[[#This Row],[age]]&lt;70,"60+")</f>
        <v>41-50</v>
      </c>
    </row>
    <row r="76" spans="1:28" ht="13.5" customHeight="1">
      <c r="A76" s="5" t="s">
        <v>195</v>
      </c>
      <c r="B76" s="6">
        <v>10207</v>
      </c>
      <c r="C76" s="6">
        <v>46335</v>
      </c>
      <c r="D76" s="6" t="s">
        <v>29</v>
      </c>
      <c r="E76" s="6" t="s">
        <v>30</v>
      </c>
      <c r="F76" s="6">
        <v>2125</v>
      </c>
      <c r="G76" s="7">
        <v>31603</v>
      </c>
      <c r="H76" s="6" t="s">
        <v>53</v>
      </c>
      <c r="I76" s="6" t="s">
        <v>32</v>
      </c>
      <c r="J76" s="6" t="s">
        <v>33</v>
      </c>
      <c r="K76" s="6" t="s">
        <v>81</v>
      </c>
      <c r="L76" s="6" t="s">
        <v>35</v>
      </c>
      <c r="M76" s="7">
        <v>40943</v>
      </c>
      <c r="N76" s="7">
        <v>32874</v>
      </c>
      <c r="O76" s="6" t="s">
        <v>36</v>
      </c>
      <c r="P76" s="6" t="s">
        <v>37</v>
      </c>
      <c r="Q76" s="6" t="s">
        <v>38</v>
      </c>
      <c r="R76" s="6" t="s">
        <v>83</v>
      </c>
      <c r="S76" s="6" t="s">
        <v>109</v>
      </c>
      <c r="T76" s="6" t="s">
        <v>50</v>
      </c>
      <c r="U76" s="6">
        <v>3.4</v>
      </c>
      <c r="V76" s="6">
        <v>5</v>
      </c>
      <c r="W76" s="6">
        <v>0</v>
      </c>
      <c r="X76" s="7">
        <v>43515</v>
      </c>
      <c r="Y76" s="6">
        <v>0</v>
      </c>
      <c r="Z76" s="8">
        <v>15</v>
      </c>
      <c r="AA76" s="9">
        <f>DATEDIF(Table1[[#This Row],[DateofBirth]],"1-1-2020","y")</f>
        <v>33</v>
      </c>
      <c r="AB76" s="10" t="str" cm="1">
        <f t="array" ref="AB76">_xlfn.IFS(Table1[[#This Row],[age]]&lt; 20,"&lt;20",Table1[[#This Row],[age]]&lt; 30,"21-30",Table1[[#This Row],[age]]&lt; 40,"31-40", Table1[[#This Row],[age]]&lt; 50,"41-50",Table1[[#This Row],[age]]&lt; 60,"51-60",Table1[[#This Row],[age]]&lt;70,"60+")</f>
        <v>31-40</v>
      </c>
    </row>
    <row r="77" spans="1:28" ht="13.5" customHeight="1">
      <c r="A77" s="5" t="s">
        <v>196</v>
      </c>
      <c r="B77" s="6">
        <v>10133</v>
      </c>
      <c r="C77" s="6">
        <v>70621</v>
      </c>
      <c r="D77" s="6" t="s">
        <v>78</v>
      </c>
      <c r="E77" s="6" t="s">
        <v>30</v>
      </c>
      <c r="F77" s="6">
        <v>2119</v>
      </c>
      <c r="G77" s="7">
        <v>32342</v>
      </c>
      <c r="H77" s="6" t="s">
        <v>53</v>
      </c>
      <c r="I77" s="6" t="s">
        <v>44</v>
      </c>
      <c r="J77" s="6" t="s">
        <v>33</v>
      </c>
      <c r="K77" s="6" t="s">
        <v>34</v>
      </c>
      <c r="L77" s="6" t="s">
        <v>35</v>
      </c>
      <c r="M77" s="7">
        <v>42125</v>
      </c>
      <c r="N77" s="7">
        <v>32874</v>
      </c>
      <c r="O77" s="6" t="s">
        <v>36</v>
      </c>
      <c r="P77" s="6" t="s">
        <v>37</v>
      </c>
      <c r="Q77" s="6" t="s">
        <v>47</v>
      </c>
      <c r="R77" s="6" t="s">
        <v>79</v>
      </c>
      <c r="S77" s="6" t="s">
        <v>72</v>
      </c>
      <c r="T77" s="6" t="s">
        <v>50</v>
      </c>
      <c r="U77" s="6">
        <v>4.1100000000000003</v>
      </c>
      <c r="V77" s="6">
        <v>4</v>
      </c>
      <c r="W77" s="6">
        <v>6</v>
      </c>
      <c r="X77" s="7">
        <v>43521</v>
      </c>
      <c r="Y77" s="6">
        <v>0</v>
      </c>
      <c r="Z77" s="8">
        <v>16</v>
      </c>
      <c r="AA77" s="9">
        <f>DATEDIF(Table1[[#This Row],[DateofBirth]],"1-1-2020","y")</f>
        <v>31</v>
      </c>
      <c r="AB77" s="10" t="str" cm="1">
        <f t="array" ref="AB77">_xlfn.IFS(Table1[[#This Row],[age]]&lt; 20,"&lt;20",Table1[[#This Row],[age]]&lt; 30,"21-30",Table1[[#This Row],[age]]&lt; 40,"31-40", Table1[[#This Row],[age]]&lt; 50,"41-50",Table1[[#This Row],[age]]&lt; 60,"51-60",Table1[[#This Row],[age]]&lt;70,"60+")</f>
        <v>31-40</v>
      </c>
    </row>
    <row r="78" spans="1:28" ht="13.5" customHeight="1">
      <c r="A78" s="5" t="s">
        <v>197</v>
      </c>
      <c r="B78" s="6">
        <v>10028</v>
      </c>
      <c r="C78" s="6">
        <v>138888</v>
      </c>
      <c r="D78" s="6" t="s">
        <v>198</v>
      </c>
      <c r="E78" s="6" t="s">
        <v>30</v>
      </c>
      <c r="F78" s="6">
        <v>1886</v>
      </c>
      <c r="G78" s="7">
        <v>25818</v>
      </c>
      <c r="H78" s="6" t="s">
        <v>31</v>
      </c>
      <c r="I78" s="6" t="s">
        <v>32</v>
      </c>
      <c r="J78" s="6" t="s">
        <v>33</v>
      </c>
      <c r="K78" s="6" t="s">
        <v>34</v>
      </c>
      <c r="L78" s="6" t="s">
        <v>74</v>
      </c>
      <c r="M78" s="7">
        <v>41760</v>
      </c>
      <c r="N78" s="7">
        <v>32874</v>
      </c>
      <c r="O78" s="6" t="s">
        <v>36</v>
      </c>
      <c r="P78" s="6" t="s">
        <v>37</v>
      </c>
      <c r="Q78" s="6" t="s">
        <v>47</v>
      </c>
      <c r="R78" s="6" t="s">
        <v>139</v>
      </c>
      <c r="S78" s="6" t="s">
        <v>49</v>
      </c>
      <c r="T78" s="6" t="s">
        <v>41</v>
      </c>
      <c r="U78" s="6">
        <v>4.3</v>
      </c>
      <c r="V78" s="6">
        <v>5</v>
      </c>
      <c r="W78" s="6">
        <v>5</v>
      </c>
      <c r="X78" s="7">
        <v>43556</v>
      </c>
      <c r="Y78" s="6">
        <v>0</v>
      </c>
      <c r="Z78" s="8">
        <v>4</v>
      </c>
      <c r="AA78" s="9">
        <f>DATEDIF(Table1[[#This Row],[DateofBirth]],"1-1-2020","y")</f>
        <v>49</v>
      </c>
      <c r="AB78" s="10" t="str" cm="1">
        <f t="array" ref="AB78">_xlfn.IFS(Table1[[#This Row],[age]]&lt; 20,"&lt;20",Table1[[#This Row],[age]]&lt; 30,"21-30",Table1[[#This Row],[age]]&lt; 40,"31-40", Table1[[#This Row],[age]]&lt; 50,"41-50",Table1[[#This Row],[age]]&lt; 60,"51-60",Table1[[#This Row],[age]]&lt;70,"60+")</f>
        <v>41-50</v>
      </c>
    </row>
    <row r="79" spans="1:28" ht="13.5" customHeight="1">
      <c r="A79" s="5" t="s">
        <v>199</v>
      </c>
      <c r="B79" s="6">
        <v>10006</v>
      </c>
      <c r="C79" s="6">
        <v>74241</v>
      </c>
      <c r="D79" s="6" t="s">
        <v>131</v>
      </c>
      <c r="E79" s="6" t="s">
        <v>200</v>
      </c>
      <c r="F79" s="6">
        <v>90007</v>
      </c>
      <c r="G79" s="7">
        <v>32366</v>
      </c>
      <c r="H79" s="6" t="s">
        <v>53</v>
      </c>
      <c r="I79" s="6" t="s">
        <v>32</v>
      </c>
      <c r="J79" s="6" t="s">
        <v>33</v>
      </c>
      <c r="K79" s="6" t="s">
        <v>34</v>
      </c>
      <c r="L79" s="6" t="s">
        <v>35</v>
      </c>
      <c r="M79" s="7">
        <v>40817</v>
      </c>
      <c r="N79" s="7">
        <v>32874</v>
      </c>
      <c r="O79" s="6" t="s">
        <v>36</v>
      </c>
      <c r="P79" s="6" t="s">
        <v>37</v>
      </c>
      <c r="Q79" s="6" t="s">
        <v>133</v>
      </c>
      <c r="R79" s="6" t="s">
        <v>152</v>
      </c>
      <c r="S79" s="6" t="s">
        <v>49</v>
      </c>
      <c r="T79" s="6" t="s">
        <v>41</v>
      </c>
      <c r="U79" s="6">
        <v>4.7699999999999996</v>
      </c>
      <c r="V79" s="6">
        <v>5</v>
      </c>
      <c r="W79" s="6">
        <v>0</v>
      </c>
      <c r="X79" s="7">
        <v>43492</v>
      </c>
      <c r="Y79" s="6">
        <v>0</v>
      </c>
      <c r="Z79" s="8">
        <v>14</v>
      </c>
      <c r="AA79" s="9">
        <f>DATEDIF(Table1[[#This Row],[DateofBirth]],"1-1-2020","y")</f>
        <v>31</v>
      </c>
      <c r="AB79" s="10" t="str" cm="1">
        <f t="array" ref="AB79">_xlfn.IFS(Table1[[#This Row],[age]]&lt; 20,"&lt;20",Table1[[#This Row],[age]]&lt; 30,"21-30",Table1[[#This Row],[age]]&lt; 40,"31-40", Table1[[#This Row],[age]]&lt; 50,"41-50",Table1[[#This Row],[age]]&lt; 60,"51-60",Table1[[#This Row],[age]]&lt;70,"60+")</f>
        <v>31-40</v>
      </c>
    </row>
    <row r="80" spans="1:28" ht="13.5" customHeight="1">
      <c r="A80" s="5" t="s">
        <v>201</v>
      </c>
      <c r="B80" s="6">
        <v>10105</v>
      </c>
      <c r="C80" s="6">
        <v>75188</v>
      </c>
      <c r="D80" s="6" t="s">
        <v>121</v>
      </c>
      <c r="E80" s="6" t="s">
        <v>30</v>
      </c>
      <c r="F80" s="6">
        <v>1731</v>
      </c>
      <c r="G80" s="7">
        <v>26996</v>
      </c>
      <c r="H80" s="6" t="s">
        <v>53</v>
      </c>
      <c r="I80" s="6" t="s">
        <v>32</v>
      </c>
      <c r="J80" s="6" t="s">
        <v>33</v>
      </c>
      <c r="K80" s="6" t="s">
        <v>34</v>
      </c>
      <c r="L80" s="6" t="s">
        <v>35</v>
      </c>
      <c r="M80" s="7">
        <v>41900</v>
      </c>
      <c r="N80" s="7">
        <v>32874</v>
      </c>
      <c r="O80" s="6" t="s">
        <v>36</v>
      </c>
      <c r="P80" s="6" t="s">
        <v>37</v>
      </c>
      <c r="Q80" s="6" t="s">
        <v>38</v>
      </c>
      <c r="R80" s="6" t="s">
        <v>123</v>
      </c>
      <c r="S80" s="6" t="s">
        <v>62</v>
      </c>
      <c r="T80" s="6" t="s">
        <v>50</v>
      </c>
      <c r="U80" s="6">
        <v>4.5199999999999996</v>
      </c>
      <c r="V80" s="6">
        <v>4</v>
      </c>
      <c r="W80" s="6">
        <v>0</v>
      </c>
      <c r="X80" s="7">
        <v>43480</v>
      </c>
      <c r="Y80" s="6">
        <v>0</v>
      </c>
      <c r="Z80" s="8">
        <v>4</v>
      </c>
      <c r="AA80" s="9">
        <f>DATEDIF(Table1[[#This Row],[DateofBirth]],"1-1-2020","y")</f>
        <v>46</v>
      </c>
      <c r="AB80" s="10" t="str" cm="1">
        <f t="array" ref="AB80">_xlfn.IFS(Table1[[#This Row],[age]]&lt; 20,"&lt;20",Table1[[#This Row],[age]]&lt; 30,"21-30",Table1[[#This Row],[age]]&lt; 40,"31-40", Table1[[#This Row],[age]]&lt; 50,"41-50",Table1[[#This Row],[age]]&lt; 60,"51-60",Table1[[#This Row],[age]]&lt;70,"60+")</f>
        <v>41-50</v>
      </c>
    </row>
    <row r="81" spans="1:28" ht="13.5" customHeight="1">
      <c r="A81" s="5" t="s">
        <v>202</v>
      </c>
      <c r="B81" s="6">
        <v>10211</v>
      </c>
      <c r="C81" s="6">
        <v>62514</v>
      </c>
      <c r="D81" s="6" t="s">
        <v>29</v>
      </c>
      <c r="E81" s="6" t="s">
        <v>30</v>
      </c>
      <c r="F81" s="6">
        <v>1749</v>
      </c>
      <c r="G81" s="7">
        <v>26930</v>
      </c>
      <c r="H81" s="6" t="s">
        <v>53</v>
      </c>
      <c r="I81" s="6" t="s">
        <v>44</v>
      </c>
      <c r="J81" s="6" t="s">
        <v>33</v>
      </c>
      <c r="K81" s="6" t="s">
        <v>34</v>
      </c>
      <c r="L81" s="6" t="s">
        <v>35</v>
      </c>
      <c r="M81" s="7">
        <v>40294</v>
      </c>
      <c r="N81" s="7">
        <v>32874</v>
      </c>
      <c r="O81" s="6" t="s">
        <v>36</v>
      </c>
      <c r="P81" s="6" t="s">
        <v>37</v>
      </c>
      <c r="Q81" s="6" t="s">
        <v>38</v>
      </c>
      <c r="R81" s="6" t="s">
        <v>71</v>
      </c>
      <c r="S81" s="6" t="s">
        <v>62</v>
      </c>
      <c r="T81" s="6" t="s">
        <v>50</v>
      </c>
      <c r="U81" s="6">
        <v>2.9</v>
      </c>
      <c r="V81" s="6">
        <v>3</v>
      </c>
      <c r="W81" s="6">
        <v>0</v>
      </c>
      <c r="X81" s="7">
        <v>43486</v>
      </c>
      <c r="Y81" s="6">
        <v>0</v>
      </c>
      <c r="Z81" s="8">
        <v>6</v>
      </c>
      <c r="AA81" s="9">
        <f>DATEDIF(Table1[[#This Row],[DateofBirth]],"1-1-2020","y")</f>
        <v>46</v>
      </c>
      <c r="AB81" s="10" t="str" cm="1">
        <f t="array" ref="AB81">_xlfn.IFS(Table1[[#This Row],[age]]&lt; 20,"&lt;20",Table1[[#This Row],[age]]&lt; 30,"21-30",Table1[[#This Row],[age]]&lt; 40,"31-40", Table1[[#This Row],[age]]&lt; 50,"41-50",Table1[[#This Row],[age]]&lt; 60,"51-60",Table1[[#This Row],[age]]&lt;70,"60+")</f>
        <v>41-50</v>
      </c>
    </row>
    <row r="82" spans="1:28" ht="13.5" customHeight="1">
      <c r="A82" s="5" t="s">
        <v>203</v>
      </c>
      <c r="B82" s="6">
        <v>10064</v>
      </c>
      <c r="C82" s="6">
        <v>60070</v>
      </c>
      <c r="D82" s="6" t="s">
        <v>29</v>
      </c>
      <c r="E82" s="6" t="s">
        <v>30</v>
      </c>
      <c r="F82" s="6">
        <v>2343</v>
      </c>
      <c r="G82" s="7">
        <v>33367</v>
      </c>
      <c r="H82" s="6" t="s">
        <v>53</v>
      </c>
      <c r="I82" s="6" t="s">
        <v>44</v>
      </c>
      <c r="J82" s="6" t="s">
        <v>33</v>
      </c>
      <c r="K82" s="6" t="s">
        <v>34</v>
      </c>
      <c r="L82" s="6" t="s">
        <v>35</v>
      </c>
      <c r="M82" s="7">
        <v>40637</v>
      </c>
      <c r="N82" s="7">
        <v>42892</v>
      </c>
      <c r="O82" s="6" t="s">
        <v>204</v>
      </c>
      <c r="P82" s="6" t="s">
        <v>46</v>
      </c>
      <c r="Q82" s="6" t="s">
        <v>38</v>
      </c>
      <c r="R82" s="6" t="s">
        <v>55</v>
      </c>
      <c r="S82" s="6" t="s">
        <v>62</v>
      </c>
      <c r="T82" s="6" t="s">
        <v>50</v>
      </c>
      <c r="U82" s="6">
        <v>5</v>
      </c>
      <c r="V82" s="6">
        <v>3</v>
      </c>
      <c r="W82" s="6">
        <v>0</v>
      </c>
      <c r="X82" s="7">
        <v>42982</v>
      </c>
      <c r="Y82" s="6">
        <v>0</v>
      </c>
      <c r="Z82" s="8">
        <v>7</v>
      </c>
      <c r="AA82" s="9">
        <f>DATEDIF(Table1[[#This Row],[DateofBirth]],"1-1-2020","y")</f>
        <v>28</v>
      </c>
      <c r="AB82" s="10" t="str" cm="1">
        <f t="array" ref="AB82">_xlfn.IFS(Table1[[#This Row],[age]]&lt; 20,"&lt;20",Table1[[#This Row],[age]]&lt; 30,"21-30",Table1[[#This Row],[age]]&lt; 40,"31-40", Table1[[#This Row],[age]]&lt; 50,"41-50",Table1[[#This Row],[age]]&lt; 60,"51-60",Table1[[#This Row],[age]]&lt;70,"60+")</f>
        <v>21-30</v>
      </c>
    </row>
    <row r="83" spans="1:28" ht="13.5" customHeight="1">
      <c r="A83" s="5" t="s">
        <v>205</v>
      </c>
      <c r="B83" s="6">
        <v>10247</v>
      </c>
      <c r="C83" s="6">
        <v>48888</v>
      </c>
      <c r="D83" s="6" t="s">
        <v>29</v>
      </c>
      <c r="E83" s="6" t="s">
        <v>30</v>
      </c>
      <c r="F83" s="6">
        <v>2026</v>
      </c>
      <c r="G83" s="7">
        <v>27180</v>
      </c>
      <c r="H83" s="6" t="s">
        <v>31</v>
      </c>
      <c r="I83" s="6" t="s">
        <v>32</v>
      </c>
      <c r="J83" s="6" t="s">
        <v>33</v>
      </c>
      <c r="K83" s="6" t="s">
        <v>34</v>
      </c>
      <c r="L83" s="6" t="s">
        <v>35</v>
      </c>
      <c r="M83" s="7">
        <v>41923</v>
      </c>
      <c r="N83" s="7">
        <v>32874</v>
      </c>
      <c r="O83" s="6" t="s">
        <v>36</v>
      </c>
      <c r="P83" s="6" t="s">
        <v>37</v>
      </c>
      <c r="Q83" s="6" t="s">
        <v>38</v>
      </c>
      <c r="R83" s="6" t="s">
        <v>91</v>
      </c>
      <c r="S83" s="6" t="s">
        <v>40</v>
      </c>
      <c r="T83" s="6" t="s">
        <v>50</v>
      </c>
      <c r="U83" s="6">
        <v>4.7</v>
      </c>
      <c r="V83" s="6">
        <v>5</v>
      </c>
      <c r="W83" s="6">
        <v>0</v>
      </c>
      <c r="X83" s="7">
        <v>43509</v>
      </c>
      <c r="Y83" s="6">
        <v>0</v>
      </c>
      <c r="Z83" s="8">
        <v>8</v>
      </c>
      <c r="AA83" s="9">
        <f>DATEDIF(Table1[[#This Row],[DateofBirth]],"1-1-2020","y")</f>
        <v>45</v>
      </c>
      <c r="AB83" s="10" t="str" cm="1">
        <f t="array" ref="AB83">_xlfn.IFS(Table1[[#This Row],[age]]&lt; 20,"&lt;20",Table1[[#This Row],[age]]&lt; 30,"21-30",Table1[[#This Row],[age]]&lt; 40,"31-40", Table1[[#This Row],[age]]&lt; 50,"41-50",Table1[[#This Row],[age]]&lt; 60,"51-60",Table1[[#This Row],[age]]&lt;70,"60+")</f>
        <v>41-50</v>
      </c>
    </row>
    <row r="84" spans="1:28" ht="13.5" customHeight="1">
      <c r="A84" s="5" t="s">
        <v>206</v>
      </c>
      <c r="B84" s="6">
        <v>10235</v>
      </c>
      <c r="C84" s="6">
        <v>54285</v>
      </c>
      <c r="D84" s="6" t="s">
        <v>29</v>
      </c>
      <c r="E84" s="6" t="s">
        <v>30</v>
      </c>
      <c r="F84" s="6">
        <v>2045</v>
      </c>
      <c r="G84" s="7">
        <v>28727</v>
      </c>
      <c r="H84" s="6" t="s">
        <v>31</v>
      </c>
      <c r="I84" s="6" t="s">
        <v>44</v>
      </c>
      <c r="J84" s="6" t="s">
        <v>33</v>
      </c>
      <c r="K84" s="6" t="s">
        <v>34</v>
      </c>
      <c r="L84" s="6" t="s">
        <v>35</v>
      </c>
      <c r="M84" s="7">
        <v>41729</v>
      </c>
      <c r="N84" s="7">
        <v>32874</v>
      </c>
      <c r="O84" s="6" t="s">
        <v>36</v>
      </c>
      <c r="P84" s="6" t="s">
        <v>37</v>
      </c>
      <c r="Q84" s="6" t="s">
        <v>38</v>
      </c>
      <c r="R84" s="6" t="s">
        <v>91</v>
      </c>
      <c r="S84" s="6" t="s">
        <v>72</v>
      </c>
      <c r="T84" s="6" t="s">
        <v>50</v>
      </c>
      <c r="U84" s="6">
        <v>4.2</v>
      </c>
      <c r="V84" s="6">
        <v>3</v>
      </c>
      <c r="W84" s="6">
        <v>0</v>
      </c>
      <c r="X84" s="7">
        <v>43770</v>
      </c>
      <c r="Y84" s="6">
        <v>0</v>
      </c>
      <c r="Z84" s="8">
        <v>3</v>
      </c>
      <c r="AA84" s="9">
        <f>DATEDIF(Table1[[#This Row],[DateofBirth]],"1-1-2020","y")</f>
        <v>41</v>
      </c>
      <c r="AB84" s="10" t="str" cm="1">
        <f t="array" ref="AB84">_xlfn.IFS(Table1[[#This Row],[age]]&lt; 20,"&lt;20",Table1[[#This Row],[age]]&lt; 30,"21-30",Table1[[#This Row],[age]]&lt; 40,"31-40", Table1[[#This Row],[age]]&lt; 50,"41-50",Table1[[#This Row],[age]]&lt; 60,"51-60",Table1[[#This Row],[age]]&lt;70,"60+")</f>
        <v>41-50</v>
      </c>
    </row>
    <row r="85" spans="1:28" ht="13.5" customHeight="1">
      <c r="A85" s="5" t="s">
        <v>207</v>
      </c>
      <c r="B85" s="6">
        <v>10299</v>
      </c>
      <c r="C85" s="6">
        <v>56847</v>
      </c>
      <c r="D85" s="6" t="s">
        <v>52</v>
      </c>
      <c r="E85" s="6" t="s">
        <v>30</v>
      </c>
      <c r="F85" s="6">
        <v>2133</v>
      </c>
      <c r="G85" s="7">
        <v>32745</v>
      </c>
      <c r="H85" s="6" t="s">
        <v>53</v>
      </c>
      <c r="I85" s="6" t="s">
        <v>129</v>
      </c>
      <c r="J85" s="6" t="s">
        <v>33</v>
      </c>
      <c r="K85" s="6" t="s">
        <v>34</v>
      </c>
      <c r="L85" s="6" t="s">
        <v>35</v>
      </c>
      <c r="M85" s="7">
        <v>41827</v>
      </c>
      <c r="N85" s="7">
        <v>32874</v>
      </c>
      <c r="O85" s="6" t="s">
        <v>36</v>
      </c>
      <c r="P85" s="6" t="s">
        <v>37</v>
      </c>
      <c r="Q85" s="6" t="s">
        <v>38</v>
      </c>
      <c r="R85" s="6" t="s">
        <v>39</v>
      </c>
      <c r="S85" s="6" t="s">
        <v>49</v>
      </c>
      <c r="T85" s="6" t="s">
        <v>183</v>
      </c>
      <c r="U85" s="6">
        <v>3</v>
      </c>
      <c r="V85" s="6">
        <v>1</v>
      </c>
      <c r="W85" s="6">
        <v>0</v>
      </c>
      <c r="X85" s="7">
        <v>43521</v>
      </c>
      <c r="Y85" s="6">
        <v>2</v>
      </c>
      <c r="Z85" s="8">
        <v>5</v>
      </c>
      <c r="AA85" s="9">
        <f>DATEDIF(Table1[[#This Row],[DateofBirth]],"1-1-2020","y")</f>
        <v>30</v>
      </c>
      <c r="AB85" s="10" t="str" cm="1">
        <f t="array" ref="AB85">_xlfn.IFS(Table1[[#This Row],[age]]&lt; 20,"&lt;20",Table1[[#This Row],[age]]&lt; 30,"21-30",Table1[[#This Row],[age]]&lt; 40,"31-40", Table1[[#This Row],[age]]&lt; 50,"41-50",Table1[[#This Row],[age]]&lt; 60,"51-60",Table1[[#This Row],[age]]&lt;70,"60+")</f>
        <v>31-40</v>
      </c>
    </row>
    <row r="86" spans="1:28" ht="13.5" customHeight="1">
      <c r="A86" s="5" t="s">
        <v>208</v>
      </c>
      <c r="B86" s="6">
        <v>10280</v>
      </c>
      <c r="C86" s="6">
        <v>60340</v>
      </c>
      <c r="D86" s="6" t="s">
        <v>29</v>
      </c>
      <c r="E86" s="6" t="s">
        <v>30</v>
      </c>
      <c r="F86" s="6">
        <v>2129</v>
      </c>
      <c r="G86" s="7">
        <v>30356</v>
      </c>
      <c r="H86" s="6" t="s">
        <v>31</v>
      </c>
      <c r="I86" s="6" t="s">
        <v>32</v>
      </c>
      <c r="J86" s="6" t="s">
        <v>33</v>
      </c>
      <c r="K86" s="6" t="s">
        <v>34</v>
      </c>
      <c r="L86" s="6" t="s">
        <v>35</v>
      </c>
      <c r="M86" s="7">
        <v>40943</v>
      </c>
      <c r="N86" s="7">
        <v>43370</v>
      </c>
      <c r="O86" s="6" t="s">
        <v>95</v>
      </c>
      <c r="P86" s="6" t="s">
        <v>96</v>
      </c>
      <c r="Q86" s="6" t="s">
        <v>38</v>
      </c>
      <c r="R86" s="6" t="s">
        <v>39</v>
      </c>
      <c r="S86" s="6" t="s">
        <v>62</v>
      </c>
      <c r="T86" s="6" t="s">
        <v>110</v>
      </c>
      <c r="U86" s="6">
        <v>5</v>
      </c>
      <c r="V86" s="6">
        <v>4</v>
      </c>
      <c r="W86" s="6">
        <v>0</v>
      </c>
      <c r="X86" s="7">
        <v>43438</v>
      </c>
      <c r="Y86" s="6">
        <v>5</v>
      </c>
      <c r="Z86" s="8">
        <v>16</v>
      </c>
      <c r="AA86" s="9">
        <f>DATEDIF(Table1[[#This Row],[DateofBirth]],"1-1-2020","y")</f>
        <v>36</v>
      </c>
      <c r="AB86" s="10" t="str" cm="1">
        <f t="array" ref="AB86">_xlfn.IFS(Table1[[#This Row],[age]]&lt; 20,"&lt;20",Table1[[#This Row],[age]]&lt; 30,"21-30",Table1[[#This Row],[age]]&lt; 40,"31-40", Table1[[#This Row],[age]]&lt; 50,"41-50",Table1[[#This Row],[age]]&lt; 60,"51-60",Table1[[#This Row],[age]]&lt;70,"60+")</f>
        <v>31-40</v>
      </c>
    </row>
    <row r="87" spans="1:28" ht="13.5" customHeight="1">
      <c r="A87" s="5" t="s">
        <v>209</v>
      </c>
      <c r="B87" s="6">
        <v>10296</v>
      </c>
      <c r="C87" s="6">
        <v>59124</v>
      </c>
      <c r="D87" s="6" t="s">
        <v>29</v>
      </c>
      <c r="E87" s="6" t="s">
        <v>30</v>
      </c>
      <c r="F87" s="6">
        <v>2458</v>
      </c>
      <c r="G87" s="7">
        <v>32664</v>
      </c>
      <c r="H87" s="6" t="s">
        <v>53</v>
      </c>
      <c r="I87" s="6" t="s">
        <v>32</v>
      </c>
      <c r="J87" s="6" t="s">
        <v>33</v>
      </c>
      <c r="K87" s="6" t="s">
        <v>34</v>
      </c>
      <c r="L87" s="6" t="s">
        <v>35</v>
      </c>
      <c r="M87" s="7">
        <v>41687</v>
      </c>
      <c r="N87" s="7">
        <v>43156</v>
      </c>
      <c r="O87" s="6" t="s">
        <v>210</v>
      </c>
      <c r="P87" s="6" t="s">
        <v>96</v>
      </c>
      <c r="Q87" s="6" t="s">
        <v>38</v>
      </c>
      <c r="R87" s="6" t="s">
        <v>57</v>
      </c>
      <c r="S87" s="6" t="s">
        <v>62</v>
      </c>
      <c r="T87" s="6" t="s">
        <v>110</v>
      </c>
      <c r="U87" s="6">
        <v>2.2999999999999998</v>
      </c>
      <c r="V87" s="6">
        <v>3</v>
      </c>
      <c r="W87" s="6">
        <v>0</v>
      </c>
      <c r="X87" s="7">
        <v>42750</v>
      </c>
      <c r="Y87" s="6">
        <v>5</v>
      </c>
      <c r="Z87" s="8">
        <v>19</v>
      </c>
      <c r="AA87" s="9">
        <f>DATEDIF(Table1[[#This Row],[DateofBirth]],"1-1-2020","y")</f>
        <v>30</v>
      </c>
      <c r="AB87" s="10" t="str" cm="1">
        <f t="array" ref="AB87">_xlfn.IFS(Table1[[#This Row],[age]]&lt; 20,"&lt;20",Table1[[#This Row],[age]]&lt; 30,"21-30",Table1[[#This Row],[age]]&lt; 40,"31-40", Table1[[#This Row],[age]]&lt; 50,"41-50",Table1[[#This Row],[age]]&lt; 60,"51-60",Table1[[#This Row],[age]]&lt;70,"60+")</f>
        <v>31-40</v>
      </c>
    </row>
    <row r="88" spans="1:28" ht="13.5" customHeight="1">
      <c r="A88" s="5" t="s">
        <v>211</v>
      </c>
      <c r="B88" s="6">
        <v>10290</v>
      </c>
      <c r="C88" s="6">
        <v>99280</v>
      </c>
      <c r="D88" s="6" t="s">
        <v>66</v>
      </c>
      <c r="E88" s="6" t="s">
        <v>30</v>
      </c>
      <c r="F88" s="6">
        <v>1749</v>
      </c>
      <c r="G88" s="7">
        <v>31912</v>
      </c>
      <c r="H88" s="6" t="s">
        <v>53</v>
      </c>
      <c r="I88" s="6" t="s">
        <v>44</v>
      </c>
      <c r="J88" s="6" t="s">
        <v>33</v>
      </c>
      <c r="K88" s="6" t="s">
        <v>34</v>
      </c>
      <c r="L88" s="6" t="s">
        <v>74</v>
      </c>
      <c r="M88" s="7">
        <v>40579</v>
      </c>
      <c r="N88" s="7">
        <v>41400</v>
      </c>
      <c r="O88" s="6" t="s">
        <v>95</v>
      </c>
      <c r="P88" s="6" t="s">
        <v>96</v>
      </c>
      <c r="Q88" s="6" t="s">
        <v>67</v>
      </c>
      <c r="R88" s="6" t="s">
        <v>68</v>
      </c>
      <c r="S88" s="6" t="s">
        <v>49</v>
      </c>
      <c r="T88" s="6" t="s">
        <v>110</v>
      </c>
      <c r="U88" s="6">
        <v>2.1</v>
      </c>
      <c r="V88" s="6">
        <v>5</v>
      </c>
      <c r="W88" s="6">
        <v>4</v>
      </c>
      <c r="X88" s="7">
        <v>41190</v>
      </c>
      <c r="Y88" s="6">
        <v>4</v>
      </c>
      <c r="Z88" s="8">
        <v>19</v>
      </c>
      <c r="AA88" s="9">
        <f>DATEDIF(Table1[[#This Row],[DateofBirth]],"1-1-2020","y")</f>
        <v>32</v>
      </c>
      <c r="AB88" s="10" t="str" cm="1">
        <f t="array" ref="AB88">_xlfn.IFS(Table1[[#This Row],[age]]&lt; 20,"&lt;20",Table1[[#This Row],[age]]&lt; 30,"21-30",Table1[[#This Row],[age]]&lt; 40,"31-40", Table1[[#This Row],[age]]&lt; 50,"41-50",Table1[[#This Row],[age]]&lt; 60,"51-60",Table1[[#This Row],[age]]&lt;70,"60+")</f>
        <v>31-40</v>
      </c>
    </row>
    <row r="89" spans="1:28" ht="13.5" customHeight="1">
      <c r="A89" s="5" t="s">
        <v>212</v>
      </c>
      <c r="B89" s="6">
        <v>10263</v>
      </c>
      <c r="C89" s="6">
        <v>71776</v>
      </c>
      <c r="D89" s="6" t="s">
        <v>52</v>
      </c>
      <c r="E89" s="6" t="s">
        <v>30</v>
      </c>
      <c r="F89" s="6">
        <v>1824</v>
      </c>
      <c r="G89" s="7">
        <v>28755</v>
      </c>
      <c r="H89" s="6" t="s">
        <v>53</v>
      </c>
      <c r="I89" s="6" t="s">
        <v>44</v>
      </c>
      <c r="J89" s="6" t="s">
        <v>33</v>
      </c>
      <c r="K89" s="6" t="s">
        <v>34</v>
      </c>
      <c r="L89" s="6" t="s">
        <v>74</v>
      </c>
      <c r="M89" s="7">
        <v>41827</v>
      </c>
      <c r="N89" s="7">
        <v>32874</v>
      </c>
      <c r="O89" s="6" t="s">
        <v>36</v>
      </c>
      <c r="P89" s="6" t="s">
        <v>37</v>
      </c>
      <c r="Q89" s="6" t="s">
        <v>38</v>
      </c>
      <c r="R89" s="6" t="s">
        <v>57</v>
      </c>
      <c r="S89" s="6" t="s">
        <v>40</v>
      </c>
      <c r="T89" s="6" t="s">
        <v>50</v>
      </c>
      <c r="U89" s="6">
        <v>4.4000000000000004</v>
      </c>
      <c r="V89" s="6">
        <v>5</v>
      </c>
      <c r="W89" s="6">
        <v>0</v>
      </c>
      <c r="X89" s="7">
        <v>43518</v>
      </c>
      <c r="Y89" s="6">
        <v>0</v>
      </c>
      <c r="Z89" s="8">
        <v>17</v>
      </c>
      <c r="AA89" s="9">
        <f>DATEDIF(Table1[[#This Row],[DateofBirth]],"1-1-2020","y")</f>
        <v>41</v>
      </c>
      <c r="AB89" s="10" t="str" cm="1">
        <f t="array" ref="AB89">_xlfn.IFS(Table1[[#This Row],[age]]&lt; 20,"&lt;20",Table1[[#This Row],[age]]&lt; 30,"21-30",Table1[[#This Row],[age]]&lt; 40,"31-40", Table1[[#This Row],[age]]&lt; 50,"41-50",Table1[[#This Row],[age]]&lt; 60,"51-60",Table1[[#This Row],[age]]&lt;70,"60+")</f>
        <v>41-50</v>
      </c>
    </row>
    <row r="90" spans="1:28" ht="13.5" customHeight="1">
      <c r="A90" s="5" t="s">
        <v>213</v>
      </c>
      <c r="B90" s="6">
        <v>10136</v>
      </c>
      <c r="C90" s="6">
        <v>65902</v>
      </c>
      <c r="D90" s="6" t="s">
        <v>52</v>
      </c>
      <c r="E90" s="6" t="s">
        <v>30</v>
      </c>
      <c r="F90" s="6">
        <v>2324</v>
      </c>
      <c r="G90" s="7">
        <v>32047</v>
      </c>
      <c r="H90" s="6" t="s">
        <v>53</v>
      </c>
      <c r="I90" s="6" t="s">
        <v>32</v>
      </c>
      <c r="J90" s="6" t="s">
        <v>33</v>
      </c>
      <c r="K90" s="6" t="s">
        <v>34</v>
      </c>
      <c r="L90" s="6" t="s">
        <v>74</v>
      </c>
      <c r="M90" s="7">
        <v>41687</v>
      </c>
      <c r="N90" s="7">
        <v>32874</v>
      </c>
      <c r="O90" s="6" t="s">
        <v>36</v>
      </c>
      <c r="P90" s="6" t="s">
        <v>37</v>
      </c>
      <c r="Q90" s="6" t="s">
        <v>38</v>
      </c>
      <c r="R90" s="6" t="s">
        <v>61</v>
      </c>
      <c r="S90" s="6" t="s">
        <v>40</v>
      </c>
      <c r="T90" s="6" t="s">
        <v>50</v>
      </c>
      <c r="U90" s="6">
        <v>4</v>
      </c>
      <c r="V90" s="6">
        <v>4</v>
      </c>
      <c r="W90" s="6">
        <v>0</v>
      </c>
      <c r="X90" s="7">
        <v>43647</v>
      </c>
      <c r="Y90" s="6">
        <v>0</v>
      </c>
      <c r="Z90" s="8">
        <v>7</v>
      </c>
      <c r="AA90" s="9">
        <f>DATEDIF(Table1[[#This Row],[DateofBirth]],"1-1-2020","y")</f>
        <v>32</v>
      </c>
      <c r="AB90" s="10" t="str" cm="1">
        <f t="array" ref="AB90">_xlfn.IFS(Table1[[#This Row],[age]]&lt; 20,"&lt;20",Table1[[#This Row],[age]]&lt; 30,"21-30",Table1[[#This Row],[age]]&lt; 40,"31-40", Table1[[#This Row],[age]]&lt; 50,"41-50",Table1[[#This Row],[age]]&lt; 60,"51-60",Table1[[#This Row],[age]]&lt;70,"60+")</f>
        <v>31-40</v>
      </c>
    </row>
    <row r="91" spans="1:28" ht="13.5" customHeight="1">
      <c r="A91" s="5" t="s">
        <v>214</v>
      </c>
      <c r="B91" s="6">
        <v>10189</v>
      </c>
      <c r="C91" s="6">
        <v>57748</v>
      </c>
      <c r="D91" s="6" t="s">
        <v>29</v>
      </c>
      <c r="E91" s="6" t="s">
        <v>30</v>
      </c>
      <c r="F91" s="6">
        <v>2176</v>
      </c>
      <c r="G91" s="7">
        <v>20193</v>
      </c>
      <c r="H91" s="6" t="s">
        <v>53</v>
      </c>
      <c r="I91" s="6" t="s">
        <v>44</v>
      </c>
      <c r="J91" s="6" t="s">
        <v>33</v>
      </c>
      <c r="K91" s="6" t="s">
        <v>34</v>
      </c>
      <c r="L91" s="6" t="s">
        <v>35</v>
      </c>
      <c r="M91" s="7">
        <v>40735</v>
      </c>
      <c r="N91" s="7">
        <v>42507</v>
      </c>
      <c r="O91" s="6" t="s">
        <v>204</v>
      </c>
      <c r="P91" s="6" t="s">
        <v>46</v>
      </c>
      <c r="Q91" s="6" t="s">
        <v>38</v>
      </c>
      <c r="R91" s="6" t="s">
        <v>61</v>
      </c>
      <c r="S91" s="6" t="s">
        <v>62</v>
      </c>
      <c r="T91" s="6" t="s">
        <v>50</v>
      </c>
      <c r="U91" s="6">
        <v>3.13</v>
      </c>
      <c r="V91" s="6">
        <v>3</v>
      </c>
      <c r="W91" s="6">
        <v>0</v>
      </c>
      <c r="X91" s="7">
        <v>42462</v>
      </c>
      <c r="Y91" s="6">
        <v>0</v>
      </c>
      <c r="Z91" s="8">
        <v>16</v>
      </c>
      <c r="AA91" s="9">
        <f>DATEDIF(Table1[[#This Row],[DateofBirth]],"1-1-2020","y")</f>
        <v>64</v>
      </c>
      <c r="AB91" s="10" t="str" cm="1">
        <f t="array" ref="AB91">_xlfn.IFS(Table1[[#This Row],[age]]&lt; 20,"&lt;20",Table1[[#This Row],[age]]&lt; 30,"21-30",Table1[[#This Row],[age]]&lt; 40,"31-40", Table1[[#This Row],[age]]&lt; 50,"41-50",Table1[[#This Row],[age]]&lt; 60,"51-60",Table1[[#This Row],[age]]&lt;70,"60+")</f>
        <v>60+</v>
      </c>
    </row>
    <row r="92" spans="1:28" ht="13.5" customHeight="1">
      <c r="A92" s="5" t="s">
        <v>215</v>
      </c>
      <c r="B92" s="6">
        <v>10308</v>
      </c>
      <c r="C92" s="6">
        <v>64057</v>
      </c>
      <c r="D92" s="6" t="s">
        <v>29</v>
      </c>
      <c r="E92" s="6" t="s">
        <v>30</v>
      </c>
      <c r="F92" s="6">
        <v>2132</v>
      </c>
      <c r="G92" s="7">
        <v>32799</v>
      </c>
      <c r="H92" s="6" t="s">
        <v>31</v>
      </c>
      <c r="I92" s="6" t="s">
        <v>44</v>
      </c>
      <c r="J92" s="6" t="s">
        <v>33</v>
      </c>
      <c r="K92" s="6" t="s">
        <v>34</v>
      </c>
      <c r="L92" s="6" t="s">
        <v>35</v>
      </c>
      <c r="M92" s="7">
        <v>42313</v>
      </c>
      <c r="N92" s="7">
        <v>32874</v>
      </c>
      <c r="O92" s="6" t="s">
        <v>36</v>
      </c>
      <c r="P92" s="6" t="s">
        <v>37</v>
      </c>
      <c r="Q92" s="6" t="s">
        <v>38</v>
      </c>
      <c r="R92" s="6" t="s">
        <v>64</v>
      </c>
      <c r="S92" s="6" t="s">
        <v>49</v>
      </c>
      <c r="T92" s="6" t="s">
        <v>183</v>
      </c>
      <c r="U92" s="6">
        <v>1.56</v>
      </c>
      <c r="V92" s="6">
        <v>5</v>
      </c>
      <c r="W92" s="6">
        <v>0</v>
      </c>
      <c r="X92" s="7">
        <v>43525</v>
      </c>
      <c r="Y92" s="6">
        <v>6</v>
      </c>
      <c r="Z92" s="8">
        <v>15</v>
      </c>
      <c r="AA92" s="9">
        <f>DATEDIF(Table1[[#This Row],[DateofBirth]],"1-1-2020","y")</f>
        <v>30</v>
      </c>
      <c r="AB92" s="10" t="str" cm="1">
        <f t="array" ref="AB92">_xlfn.IFS(Table1[[#This Row],[age]]&lt; 20,"&lt;20",Table1[[#This Row],[age]]&lt; 30,"21-30",Table1[[#This Row],[age]]&lt; 40,"31-40", Table1[[#This Row],[age]]&lt; 50,"41-50",Table1[[#This Row],[age]]&lt; 60,"51-60",Table1[[#This Row],[age]]&lt;70,"60+")</f>
        <v>31-40</v>
      </c>
    </row>
    <row r="93" spans="1:28" ht="13.5" customHeight="1">
      <c r="A93" s="5" t="s">
        <v>216</v>
      </c>
      <c r="B93" s="6">
        <v>10309</v>
      </c>
      <c r="C93" s="6">
        <v>53366</v>
      </c>
      <c r="D93" s="6" t="s">
        <v>217</v>
      </c>
      <c r="E93" s="6" t="s">
        <v>30</v>
      </c>
      <c r="F93" s="6">
        <v>2138</v>
      </c>
      <c r="G93" s="7">
        <v>31946</v>
      </c>
      <c r="H93" s="6" t="s">
        <v>31</v>
      </c>
      <c r="I93" s="6" t="s">
        <v>32</v>
      </c>
      <c r="J93" s="6" t="s">
        <v>33</v>
      </c>
      <c r="K93" s="6" t="s">
        <v>34</v>
      </c>
      <c r="L93" s="6" t="s">
        <v>35</v>
      </c>
      <c r="M93" s="7">
        <v>42093</v>
      </c>
      <c r="N93" s="7">
        <v>32874</v>
      </c>
      <c r="O93" s="6" t="s">
        <v>36</v>
      </c>
      <c r="P93" s="6" t="s">
        <v>37</v>
      </c>
      <c r="Q93" s="6" t="s">
        <v>47</v>
      </c>
      <c r="R93" s="6" t="s">
        <v>79</v>
      </c>
      <c r="S93" s="6" t="s">
        <v>40</v>
      </c>
      <c r="T93" s="6" t="s">
        <v>183</v>
      </c>
      <c r="U93" s="6">
        <v>1.2</v>
      </c>
      <c r="V93" s="6">
        <v>3</v>
      </c>
      <c r="W93" s="6">
        <v>6</v>
      </c>
      <c r="X93" s="7">
        <v>43557</v>
      </c>
      <c r="Y93" s="6">
        <v>3</v>
      </c>
      <c r="Z93" s="8">
        <v>2</v>
      </c>
      <c r="AA93" s="9">
        <f>DATEDIF(Table1[[#This Row],[DateofBirth]],"1-1-2020","y")</f>
        <v>32</v>
      </c>
      <c r="AB93" s="10" t="str" cm="1">
        <f t="array" ref="AB93">_xlfn.IFS(Table1[[#This Row],[age]]&lt; 20,"&lt;20",Table1[[#This Row],[age]]&lt; 30,"21-30",Table1[[#This Row],[age]]&lt; 40,"31-40", Table1[[#This Row],[age]]&lt; 50,"41-50",Table1[[#This Row],[age]]&lt; 60,"51-60",Table1[[#This Row],[age]]&lt;70,"60+")</f>
        <v>31-40</v>
      </c>
    </row>
    <row r="94" spans="1:28" ht="13.5" customHeight="1">
      <c r="A94" s="5" t="s">
        <v>218</v>
      </c>
      <c r="B94" s="6">
        <v>10049</v>
      </c>
      <c r="C94" s="6">
        <v>58530</v>
      </c>
      <c r="D94" s="6" t="s">
        <v>29</v>
      </c>
      <c r="E94" s="6" t="s">
        <v>30</v>
      </c>
      <c r="F94" s="6">
        <v>2155</v>
      </c>
      <c r="G94" s="7">
        <v>29661</v>
      </c>
      <c r="H94" s="6" t="s">
        <v>53</v>
      </c>
      <c r="I94" s="6" t="s">
        <v>44</v>
      </c>
      <c r="J94" s="6" t="s">
        <v>33</v>
      </c>
      <c r="K94" s="6" t="s">
        <v>34</v>
      </c>
      <c r="L94" s="6" t="s">
        <v>35</v>
      </c>
      <c r="M94" s="7">
        <v>41153</v>
      </c>
      <c r="N94" s="7">
        <v>32874</v>
      </c>
      <c r="O94" s="6" t="s">
        <v>36</v>
      </c>
      <c r="P94" s="6" t="s">
        <v>37</v>
      </c>
      <c r="Q94" s="6" t="s">
        <v>38</v>
      </c>
      <c r="R94" s="6" t="s">
        <v>75</v>
      </c>
      <c r="S94" s="6" t="s">
        <v>62</v>
      </c>
      <c r="T94" s="6" t="s">
        <v>50</v>
      </c>
      <c r="U94" s="6">
        <v>5</v>
      </c>
      <c r="V94" s="6">
        <v>5</v>
      </c>
      <c r="W94" s="6">
        <v>0</v>
      </c>
      <c r="X94" s="7">
        <v>43494</v>
      </c>
      <c r="Y94" s="6">
        <v>0</v>
      </c>
      <c r="Z94" s="8">
        <v>19</v>
      </c>
      <c r="AA94" s="9">
        <f>DATEDIF(Table1[[#This Row],[DateofBirth]],"1-1-2020","y")</f>
        <v>38</v>
      </c>
      <c r="AB94" s="10" t="str" cm="1">
        <f t="array" ref="AB94">_xlfn.IFS(Table1[[#This Row],[age]]&lt; 20,"&lt;20",Table1[[#This Row],[age]]&lt; 30,"21-30",Table1[[#This Row],[age]]&lt; 40,"31-40", Table1[[#This Row],[age]]&lt; 50,"41-50",Table1[[#This Row],[age]]&lt; 60,"51-60",Table1[[#This Row],[age]]&lt;70,"60+")</f>
        <v>31-40</v>
      </c>
    </row>
    <row r="95" spans="1:28" ht="13.5" customHeight="1">
      <c r="A95" s="5" t="s">
        <v>219</v>
      </c>
      <c r="B95" s="6">
        <v>10093</v>
      </c>
      <c r="C95" s="6">
        <v>72609</v>
      </c>
      <c r="D95" s="6" t="s">
        <v>52</v>
      </c>
      <c r="E95" s="6" t="s">
        <v>30</v>
      </c>
      <c r="F95" s="6">
        <v>2143</v>
      </c>
      <c r="G95" s="7">
        <v>29596</v>
      </c>
      <c r="H95" s="6" t="s">
        <v>31</v>
      </c>
      <c r="I95" s="6" t="s">
        <v>32</v>
      </c>
      <c r="J95" s="6" t="s">
        <v>33</v>
      </c>
      <c r="K95" s="6" t="s">
        <v>81</v>
      </c>
      <c r="L95" s="6" t="s">
        <v>35</v>
      </c>
      <c r="M95" s="7">
        <v>40679</v>
      </c>
      <c r="N95" s="7">
        <v>41449</v>
      </c>
      <c r="O95" s="6" t="s">
        <v>54</v>
      </c>
      <c r="P95" s="6" t="s">
        <v>46</v>
      </c>
      <c r="Q95" s="6" t="s">
        <v>38</v>
      </c>
      <c r="R95" s="6" t="s">
        <v>64</v>
      </c>
      <c r="S95" s="6" t="s">
        <v>62</v>
      </c>
      <c r="T95" s="6" t="s">
        <v>50</v>
      </c>
      <c r="U95" s="6">
        <v>4.76</v>
      </c>
      <c r="V95" s="6">
        <v>5</v>
      </c>
      <c r="W95" s="6">
        <v>0</v>
      </c>
      <c r="X95" s="7">
        <v>41398</v>
      </c>
      <c r="Y95" s="6">
        <v>0</v>
      </c>
      <c r="Z95" s="8">
        <v>20</v>
      </c>
      <c r="AA95" s="9">
        <f>DATEDIF(Table1[[#This Row],[DateofBirth]],"1-1-2020","y")</f>
        <v>38</v>
      </c>
      <c r="AB95" s="10" t="str" cm="1">
        <f t="array" ref="AB95">_xlfn.IFS(Table1[[#This Row],[age]]&lt; 20,"&lt;20",Table1[[#This Row],[age]]&lt; 30,"21-30",Table1[[#This Row],[age]]&lt; 40,"31-40", Table1[[#This Row],[age]]&lt; 50,"41-50",Table1[[#This Row],[age]]&lt; 60,"51-60",Table1[[#This Row],[age]]&lt;70,"60+")</f>
        <v>31-40</v>
      </c>
    </row>
    <row r="96" spans="1:28" ht="13.5" customHeight="1">
      <c r="A96" s="5" t="s">
        <v>220</v>
      </c>
      <c r="B96" s="6">
        <v>10163</v>
      </c>
      <c r="C96" s="6">
        <v>55965</v>
      </c>
      <c r="D96" s="6" t="s">
        <v>52</v>
      </c>
      <c r="E96" s="6" t="s">
        <v>30</v>
      </c>
      <c r="F96" s="6">
        <v>2170</v>
      </c>
      <c r="G96" s="7">
        <v>30539</v>
      </c>
      <c r="H96" s="6" t="s">
        <v>53</v>
      </c>
      <c r="I96" s="6" t="s">
        <v>44</v>
      </c>
      <c r="J96" s="6" t="s">
        <v>33</v>
      </c>
      <c r="K96" s="6" t="s">
        <v>34</v>
      </c>
      <c r="L96" s="6" t="s">
        <v>35</v>
      </c>
      <c r="M96" s="7">
        <v>40637</v>
      </c>
      <c r="N96" s="7">
        <v>41518</v>
      </c>
      <c r="O96" s="6" t="s">
        <v>45</v>
      </c>
      <c r="P96" s="6" t="s">
        <v>46</v>
      </c>
      <c r="Q96" s="6" t="s">
        <v>38</v>
      </c>
      <c r="R96" s="6" t="s">
        <v>71</v>
      </c>
      <c r="S96" s="6" t="s">
        <v>62</v>
      </c>
      <c r="T96" s="6" t="s">
        <v>50</v>
      </c>
      <c r="U96" s="6">
        <v>3.66</v>
      </c>
      <c r="V96" s="6">
        <v>3</v>
      </c>
      <c r="W96" s="6">
        <v>0</v>
      </c>
      <c r="X96" s="7">
        <v>41091</v>
      </c>
      <c r="Y96" s="6">
        <v>0</v>
      </c>
      <c r="Z96" s="8">
        <v>6</v>
      </c>
      <c r="AA96" s="9">
        <f>DATEDIF(Table1[[#This Row],[DateofBirth]],"1-1-2020","y")</f>
        <v>36</v>
      </c>
      <c r="AB96" s="10" t="str" cm="1">
        <f t="array" ref="AB96">_xlfn.IFS(Table1[[#This Row],[age]]&lt; 20,"&lt;20",Table1[[#This Row],[age]]&lt; 30,"21-30",Table1[[#This Row],[age]]&lt; 40,"31-40", Table1[[#This Row],[age]]&lt; 50,"41-50",Table1[[#This Row],[age]]&lt; 60,"51-60",Table1[[#This Row],[age]]&lt;70,"60+")</f>
        <v>31-40</v>
      </c>
    </row>
    <row r="97" spans="1:28" ht="13.5" customHeight="1">
      <c r="A97" s="5" t="s">
        <v>221</v>
      </c>
      <c r="B97" s="6">
        <v>10305</v>
      </c>
      <c r="C97" s="6">
        <v>70187</v>
      </c>
      <c r="D97" s="6" t="s">
        <v>131</v>
      </c>
      <c r="E97" s="6" t="s">
        <v>30</v>
      </c>
      <c r="F97" s="6">
        <v>2330</v>
      </c>
      <c r="G97" s="7">
        <v>27582</v>
      </c>
      <c r="H97" s="6" t="s">
        <v>31</v>
      </c>
      <c r="I97" s="6" t="s">
        <v>44</v>
      </c>
      <c r="J97" s="6" t="s">
        <v>33</v>
      </c>
      <c r="K97" s="6" t="s">
        <v>34</v>
      </c>
      <c r="L97" s="6" t="s">
        <v>35</v>
      </c>
      <c r="M97" s="7">
        <v>41911</v>
      </c>
      <c r="N97" s="7">
        <v>43331</v>
      </c>
      <c r="O97" s="6" t="s">
        <v>222</v>
      </c>
      <c r="P97" s="6" t="s">
        <v>96</v>
      </c>
      <c r="Q97" s="6" t="s">
        <v>133</v>
      </c>
      <c r="R97" s="6" t="s">
        <v>152</v>
      </c>
      <c r="S97" s="6" t="s">
        <v>72</v>
      </c>
      <c r="T97" s="6" t="s">
        <v>183</v>
      </c>
      <c r="U97" s="6">
        <v>2</v>
      </c>
      <c r="V97" s="6">
        <v>5</v>
      </c>
      <c r="W97" s="6">
        <v>0</v>
      </c>
      <c r="X97" s="7">
        <v>43493</v>
      </c>
      <c r="Y97" s="6">
        <v>4</v>
      </c>
      <c r="Z97" s="8">
        <v>7</v>
      </c>
      <c r="AA97" s="9">
        <f>DATEDIF(Table1[[#This Row],[DateofBirth]],"1-1-2020","y")</f>
        <v>44</v>
      </c>
      <c r="AB97" s="10" t="str" cm="1">
        <f t="array" ref="AB97">_xlfn.IFS(Table1[[#This Row],[age]]&lt; 20,"&lt;20",Table1[[#This Row],[age]]&lt; 30,"21-30",Table1[[#This Row],[age]]&lt; 40,"31-40", Table1[[#This Row],[age]]&lt; 50,"41-50",Table1[[#This Row],[age]]&lt; 60,"51-60",Table1[[#This Row],[age]]&lt;70,"60+")</f>
        <v>41-50</v>
      </c>
    </row>
    <row r="98" spans="1:28" ht="13.5" customHeight="1">
      <c r="A98" s="5" t="s">
        <v>223</v>
      </c>
      <c r="B98" s="6">
        <v>10015</v>
      </c>
      <c r="C98" s="6">
        <v>178000</v>
      </c>
      <c r="D98" s="6" t="s">
        <v>224</v>
      </c>
      <c r="E98" s="6" t="s">
        <v>30</v>
      </c>
      <c r="F98" s="6">
        <v>1460</v>
      </c>
      <c r="G98" s="7">
        <v>29348</v>
      </c>
      <c r="H98" s="6" t="s">
        <v>31</v>
      </c>
      <c r="I98" s="6" t="s">
        <v>32</v>
      </c>
      <c r="J98" s="6" t="s">
        <v>33</v>
      </c>
      <c r="K98" s="6" t="s">
        <v>34</v>
      </c>
      <c r="L98" s="6" t="s">
        <v>74</v>
      </c>
      <c r="M98" s="7">
        <v>40648</v>
      </c>
      <c r="N98" s="7">
        <v>32874</v>
      </c>
      <c r="O98" s="6" t="s">
        <v>36</v>
      </c>
      <c r="P98" s="6" t="s">
        <v>37</v>
      </c>
      <c r="Q98" s="6" t="s">
        <v>47</v>
      </c>
      <c r="R98" s="6" t="s">
        <v>139</v>
      </c>
      <c r="S98" s="6" t="s">
        <v>49</v>
      </c>
      <c r="T98" s="6" t="s">
        <v>41</v>
      </c>
      <c r="U98" s="6">
        <v>5</v>
      </c>
      <c r="V98" s="6">
        <v>5</v>
      </c>
      <c r="W98" s="6">
        <v>5</v>
      </c>
      <c r="X98" s="7">
        <v>43647</v>
      </c>
      <c r="Y98" s="6">
        <v>0</v>
      </c>
      <c r="Z98" s="8">
        <v>15</v>
      </c>
      <c r="AA98" s="9">
        <f>DATEDIF(Table1[[#This Row],[DateofBirth]],"1-1-2020","y")</f>
        <v>39</v>
      </c>
      <c r="AB98" s="10" t="str" cm="1">
        <f t="array" ref="AB98">_xlfn.IFS(Table1[[#This Row],[age]]&lt; 20,"&lt;20",Table1[[#This Row],[age]]&lt; 30,"21-30",Table1[[#This Row],[age]]&lt; 40,"31-40", Table1[[#This Row],[age]]&lt; 50,"41-50",Table1[[#This Row],[age]]&lt; 60,"51-60",Table1[[#This Row],[age]]&lt;70,"60+")</f>
        <v>31-40</v>
      </c>
    </row>
    <row r="99" spans="1:28" ht="13.5" customHeight="1">
      <c r="A99" s="5" t="s">
        <v>225</v>
      </c>
      <c r="B99" s="6">
        <v>10080</v>
      </c>
      <c r="C99" s="6">
        <v>99351</v>
      </c>
      <c r="D99" s="6" t="s">
        <v>117</v>
      </c>
      <c r="E99" s="6" t="s">
        <v>30</v>
      </c>
      <c r="F99" s="6">
        <v>2050</v>
      </c>
      <c r="G99" s="7">
        <v>28961</v>
      </c>
      <c r="H99" s="6" t="s">
        <v>53</v>
      </c>
      <c r="I99" s="6" t="s">
        <v>44</v>
      </c>
      <c r="J99" s="6" t="s">
        <v>33</v>
      </c>
      <c r="K99" s="6" t="s">
        <v>226</v>
      </c>
      <c r="L99" s="6" t="s">
        <v>35</v>
      </c>
      <c r="M99" s="7">
        <v>39934</v>
      </c>
      <c r="N99" s="7">
        <v>32874</v>
      </c>
      <c r="O99" s="6" t="s">
        <v>36</v>
      </c>
      <c r="P99" s="6" t="s">
        <v>37</v>
      </c>
      <c r="Q99" s="6" t="s">
        <v>118</v>
      </c>
      <c r="R99" s="6" t="s">
        <v>227</v>
      </c>
      <c r="S99" s="6" t="s">
        <v>228</v>
      </c>
      <c r="T99" s="6" t="s">
        <v>50</v>
      </c>
      <c r="U99" s="6">
        <v>5</v>
      </c>
      <c r="V99" s="6">
        <v>3</v>
      </c>
      <c r="W99" s="6">
        <v>2</v>
      </c>
      <c r="X99" s="7">
        <v>43679</v>
      </c>
      <c r="Y99" s="6">
        <v>0</v>
      </c>
      <c r="Z99" s="8">
        <v>3</v>
      </c>
      <c r="AA99" s="9">
        <f>DATEDIF(Table1[[#This Row],[DateofBirth]],"1-1-2020","y")</f>
        <v>40</v>
      </c>
      <c r="AB99" s="10" t="str" cm="1">
        <f t="array" ref="AB99">_xlfn.IFS(Table1[[#This Row],[age]]&lt; 20,"&lt;20",Table1[[#This Row],[age]]&lt; 30,"21-30",Table1[[#This Row],[age]]&lt; 40,"31-40", Table1[[#This Row],[age]]&lt; 50,"41-50",Table1[[#This Row],[age]]&lt; 60,"51-60",Table1[[#This Row],[age]]&lt;70,"60+")</f>
        <v>41-50</v>
      </c>
    </row>
    <row r="100" spans="1:28" ht="13.5" customHeight="1">
      <c r="A100" s="5" t="s">
        <v>229</v>
      </c>
      <c r="B100" s="6">
        <v>10258</v>
      </c>
      <c r="C100" s="6">
        <v>67251</v>
      </c>
      <c r="D100" s="6" t="s">
        <v>131</v>
      </c>
      <c r="E100" s="6" t="s">
        <v>114</v>
      </c>
      <c r="F100" s="6">
        <v>6050</v>
      </c>
      <c r="G100" s="7">
        <v>23251</v>
      </c>
      <c r="H100" s="6" t="s">
        <v>31</v>
      </c>
      <c r="I100" s="6" t="s">
        <v>32</v>
      </c>
      <c r="J100" s="6" t="s">
        <v>33</v>
      </c>
      <c r="K100" s="6" t="s">
        <v>34</v>
      </c>
      <c r="L100" s="6" t="s">
        <v>74</v>
      </c>
      <c r="M100" s="7">
        <v>40703</v>
      </c>
      <c r="N100" s="7">
        <v>32874</v>
      </c>
      <c r="O100" s="6" t="s">
        <v>36</v>
      </c>
      <c r="P100" s="6" t="s">
        <v>37</v>
      </c>
      <c r="Q100" s="6" t="s">
        <v>133</v>
      </c>
      <c r="R100" s="6" t="s">
        <v>152</v>
      </c>
      <c r="S100" s="6" t="s">
        <v>109</v>
      </c>
      <c r="T100" s="6" t="s">
        <v>50</v>
      </c>
      <c r="U100" s="6">
        <v>4.3</v>
      </c>
      <c r="V100" s="6">
        <v>3</v>
      </c>
      <c r="W100" s="6">
        <v>0</v>
      </c>
      <c r="X100" s="7">
        <v>43492</v>
      </c>
      <c r="Y100" s="6">
        <v>2</v>
      </c>
      <c r="Z100" s="8">
        <v>7</v>
      </c>
      <c r="AA100" s="9">
        <f>DATEDIF(Table1[[#This Row],[DateofBirth]],"1-1-2020","y")</f>
        <v>56</v>
      </c>
      <c r="AB100" s="10" t="str" cm="1">
        <f t="array" ref="AB100">_xlfn.IFS(Table1[[#This Row],[age]]&lt; 20,"&lt;20",Table1[[#This Row],[age]]&lt; 30,"21-30",Table1[[#This Row],[age]]&lt; 40,"31-40", Table1[[#This Row],[age]]&lt; 50,"41-50",Table1[[#This Row],[age]]&lt; 60,"51-60",Table1[[#This Row],[age]]&lt;70,"60+")</f>
        <v>51-60</v>
      </c>
    </row>
    <row r="101" spans="1:28" ht="13.5" customHeight="1">
      <c r="A101" s="5" t="s">
        <v>230</v>
      </c>
      <c r="B101" s="6">
        <v>10273</v>
      </c>
      <c r="C101" s="6">
        <v>65707</v>
      </c>
      <c r="D101" s="6" t="s">
        <v>78</v>
      </c>
      <c r="E101" s="6" t="s">
        <v>114</v>
      </c>
      <c r="F101" s="6">
        <v>6040</v>
      </c>
      <c r="G101" s="7">
        <v>24996</v>
      </c>
      <c r="H101" s="6" t="s">
        <v>53</v>
      </c>
      <c r="I101" s="6" t="s">
        <v>32</v>
      </c>
      <c r="J101" s="6" t="s">
        <v>33</v>
      </c>
      <c r="K101" s="6" t="s">
        <v>34</v>
      </c>
      <c r="L101" s="6" t="s">
        <v>35</v>
      </c>
      <c r="M101" s="7">
        <v>40183</v>
      </c>
      <c r="N101" s="7">
        <v>32874</v>
      </c>
      <c r="O101" s="6" t="s">
        <v>36</v>
      </c>
      <c r="P101" s="6" t="s">
        <v>37</v>
      </c>
      <c r="Q101" s="6" t="s">
        <v>47</v>
      </c>
      <c r="R101" s="6" t="s">
        <v>158</v>
      </c>
      <c r="S101" s="6" t="s">
        <v>40</v>
      </c>
      <c r="T101" s="6" t="s">
        <v>50</v>
      </c>
      <c r="U101" s="6">
        <v>4.7</v>
      </c>
      <c r="V101" s="6">
        <v>4</v>
      </c>
      <c r="W101" s="6">
        <v>5</v>
      </c>
      <c r="X101" s="7">
        <v>43467</v>
      </c>
      <c r="Y101" s="6">
        <v>0</v>
      </c>
      <c r="Z101" s="8">
        <v>1</v>
      </c>
      <c r="AA101" s="9">
        <f>DATEDIF(Table1[[#This Row],[DateofBirth]],"1-1-2020","y")</f>
        <v>51</v>
      </c>
      <c r="AB101" s="10" t="str" cm="1">
        <f t="array" ref="AB101">_xlfn.IFS(Table1[[#This Row],[age]]&lt; 20,"&lt;20",Table1[[#This Row],[age]]&lt; 30,"21-30",Table1[[#This Row],[age]]&lt; 40,"31-40", Table1[[#This Row],[age]]&lt; 50,"41-50",Table1[[#This Row],[age]]&lt; 60,"51-60",Table1[[#This Row],[age]]&lt;70,"60+")</f>
        <v>51-60</v>
      </c>
    </row>
    <row r="102" spans="1:28" ht="13.5" customHeight="1">
      <c r="A102" s="5" t="s">
        <v>231</v>
      </c>
      <c r="B102" s="6">
        <v>10111</v>
      </c>
      <c r="C102" s="6">
        <v>52249</v>
      </c>
      <c r="D102" s="6" t="s">
        <v>29</v>
      </c>
      <c r="E102" s="6" t="s">
        <v>30</v>
      </c>
      <c r="F102" s="6">
        <v>1905</v>
      </c>
      <c r="G102" s="7">
        <v>31305</v>
      </c>
      <c r="H102" s="6" t="s">
        <v>31</v>
      </c>
      <c r="I102" s="6" t="s">
        <v>32</v>
      </c>
      <c r="J102" s="6" t="s">
        <v>33</v>
      </c>
      <c r="K102" s="6" t="s">
        <v>81</v>
      </c>
      <c r="L102" s="6" t="s">
        <v>35</v>
      </c>
      <c r="M102" s="7">
        <v>42093</v>
      </c>
      <c r="N102" s="7">
        <v>32874</v>
      </c>
      <c r="O102" s="6" t="s">
        <v>36</v>
      </c>
      <c r="P102" s="6" t="s">
        <v>37</v>
      </c>
      <c r="Q102" s="6" t="s">
        <v>38</v>
      </c>
      <c r="R102" s="6" t="s">
        <v>83</v>
      </c>
      <c r="S102" s="6" t="s">
        <v>72</v>
      </c>
      <c r="T102" s="6" t="s">
        <v>50</v>
      </c>
      <c r="U102" s="6">
        <v>4.5</v>
      </c>
      <c r="V102" s="6">
        <v>3</v>
      </c>
      <c r="W102" s="6">
        <v>0</v>
      </c>
      <c r="X102" s="7">
        <v>43514</v>
      </c>
      <c r="Y102" s="6">
        <v>0</v>
      </c>
      <c r="Z102" s="8">
        <v>5</v>
      </c>
      <c r="AA102" s="9">
        <f>DATEDIF(Table1[[#This Row],[DateofBirth]],"1-1-2020","y")</f>
        <v>34</v>
      </c>
      <c r="AB102" s="10" t="str" cm="1">
        <f t="array" ref="AB102">_xlfn.IFS(Table1[[#This Row],[age]]&lt; 20,"&lt;20",Table1[[#This Row],[age]]&lt; 30,"21-30",Table1[[#This Row],[age]]&lt; 40,"31-40", Table1[[#This Row],[age]]&lt; 50,"41-50",Table1[[#This Row],[age]]&lt; 60,"51-60",Table1[[#This Row],[age]]&lt;70,"60+")</f>
        <v>31-40</v>
      </c>
    </row>
    <row r="103" spans="1:28" ht="13.5" customHeight="1">
      <c r="A103" s="5" t="s">
        <v>232</v>
      </c>
      <c r="B103" s="6">
        <v>10257</v>
      </c>
      <c r="C103" s="6">
        <v>53171</v>
      </c>
      <c r="D103" s="6" t="s">
        <v>29</v>
      </c>
      <c r="E103" s="6" t="s">
        <v>30</v>
      </c>
      <c r="F103" s="6">
        <v>2121</v>
      </c>
      <c r="G103" s="7">
        <v>30359</v>
      </c>
      <c r="H103" s="6" t="s">
        <v>53</v>
      </c>
      <c r="I103" s="6" t="s">
        <v>32</v>
      </c>
      <c r="J103" s="6" t="s">
        <v>33</v>
      </c>
      <c r="K103" s="6" t="s">
        <v>81</v>
      </c>
      <c r="L103" s="6" t="s">
        <v>74</v>
      </c>
      <c r="M103" s="7">
        <v>40679</v>
      </c>
      <c r="N103" s="7">
        <v>32874</v>
      </c>
      <c r="O103" s="6" t="s">
        <v>36</v>
      </c>
      <c r="P103" s="6" t="s">
        <v>37</v>
      </c>
      <c r="Q103" s="6" t="s">
        <v>38</v>
      </c>
      <c r="R103" s="6" t="s">
        <v>91</v>
      </c>
      <c r="S103" s="6" t="s">
        <v>40</v>
      </c>
      <c r="T103" s="6" t="s">
        <v>50</v>
      </c>
      <c r="U103" s="6">
        <v>4.2</v>
      </c>
      <c r="V103" s="6">
        <v>4</v>
      </c>
      <c r="W103" s="6">
        <v>0</v>
      </c>
      <c r="X103" s="7">
        <v>43522</v>
      </c>
      <c r="Y103" s="6">
        <v>0</v>
      </c>
      <c r="Z103" s="8">
        <v>12</v>
      </c>
      <c r="AA103" s="9">
        <f>DATEDIF(Table1[[#This Row],[DateofBirth]],"1-1-2020","y")</f>
        <v>36</v>
      </c>
      <c r="AB103" s="10" t="str" cm="1">
        <f t="array" ref="AB103">_xlfn.IFS(Table1[[#This Row],[age]]&lt; 20,"&lt;20",Table1[[#This Row],[age]]&lt; 30,"21-30",Table1[[#This Row],[age]]&lt; 40,"31-40", Table1[[#This Row],[age]]&lt; 50,"41-50",Table1[[#This Row],[age]]&lt; 60,"51-60",Table1[[#This Row],[age]]&lt;70,"60+")</f>
        <v>31-40</v>
      </c>
    </row>
    <row r="104" spans="1:28" ht="13.5" customHeight="1">
      <c r="A104" s="5" t="s">
        <v>233</v>
      </c>
      <c r="B104" s="6">
        <v>10159</v>
      </c>
      <c r="C104" s="6">
        <v>51337</v>
      </c>
      <c r="D104" s="6" t="s">
        <v>29</v>
      </c>
      <c r="E104" s="6" t="s">
        <v>30</v>
      </c>
      <c r="F104" s="6">
        <v>2145</v>
      </c>
      <c r="G104" s="7">
        <v>32883</v>
      </c>
      <c r="H104" s="6" t="s">
        <v>53</v>
      </c>
      <c r="I104" s="6" t="s">
        <v>44</v>
      </c>
      <c r="J104" s="6" t="s">
        <v>33</v>
      </c>
      <c r="K104" s="6" t="s">
        <v>34</v>
      </c>
      <c r="L104" s="6" t="s">
        <v>74</v>
      </c>
      <c r="M104" s="7">
        <v>42093</v>
      </c>
      <c r="N104" s="7">
        <v>32874</v>
      </c>
      <c r="O104" s="6" t="s">
        <v>36</v>
      </c>
      <c r="P104" s="6" t="s">
        <v>37</v>
      </c>
      <c r="Q104" s="6" t="s">
        <v>38</v>
      </c>
      <c r="R104" s="6" t="s">
        <v>39</v>
      </c>
      <c r="S104" s="6" t="s">
        <v>40</v>
      </c>
      <c r="T104" s="6" t="s">
        <v>50</v>
      </c>
      <c r="U104" s="6">
        <v>3.73</v>
      </c>
      <c r="V104" s="6">
        <v>3</v>
      </c>
      <c r="W104" s="6">
        <v>0</v>
      </c>
      <c r="X104" s="7">
        <v>43481</v>
      </c>
      <c r="Y104" s="6">
        <v>0</v>
      </c>
      <c r="Z104" s="8">
        <v>19</v>
      </c>
      <c r="AA104" s="9">
        <f>DATEDIF(Table1[[#This Row],[DateofBirth]],"1-1-2020","y")</f>
        <v>29</v>
      </c>
      <c r="AB104" s="10" t="str" cm="1">
        <f t="array" ref="AB104">_xlfn.IFS(Table1[[#This Row],[age]]&lt; 20,"&lt;20",Table1[[#This Row],[age]]&lt; 30,"21-30",Table1[[#This Row],[age]]&lt; 40,"31-40", Table1[[#This Row],[age]]&lt; 50,"41-50",Table1[[#This Row],[age]]&lt; 60,"51-60",Table1[[#This Row],[age]]&lt;70,"60+")</f>
        <v>21-30</v>
      </c>
    </row>
    <row r="105" spans="1:28" ht="13.5" customHeight="1">
      <c r="A105" s="5" t="s">
        <v>234</v>
      </c>
      <c r="B105" s="6">
        <v>10122</v>
      </c>
      <c r="C105" s="6">
        <v>51505</v>
      </c>
      <c r="D105" s="6" t="s">
        <v>29</v>
      </c>
      <c r="E105" s="6" t="s">
        <v>30</v>
      </c>
      <c r="F105" s="6">
        <v>2330</v>
      </c>
      <c r="G105" s="7">
        <v>25703</v>
      </c>
      <c r="H105" s="6" t="s">
        <v>53</v>
      </c>
      <c r="I105" s="6" t="s">
        <v>59</v>
      </c>
      <c r="J105" s="6" t="s">
        <v>33</v>
      </c>
      <c r="K105" s="6" t="s">
        <v>34</v>
      </c>
      <c r="L105" s="6" t="s">
        <v>74</v>
      </c>
      <c r="M105" s="7">
        <v>40735</v>
      </c>
      <c r="N105" s="7">
        <v>42689</v>
      </c>
      <c r="O105" s="6" t="s">
        <v>54</v>
      </c>
      <c r="P105" s="6" t="s">
        <v>46</v>
      </c>
      <c r="Q105" s="6" t="s">
        <v>38</v>
      </c>
      <c r="R105" s="6" t="s">
        <v>57</v>
      </c>
      <c r="S105" s="6" t="s">
        <v>76</v>
      </c>
      <c r="T105" s="6" t="s">
        <v>50</v>
      </c>
      <c r="U105" s="6">
        <v>4.24</v>
      </c>
      <c r="V105" s="6">
        <v>4</v>
      </c>
      <c r="W105" s="6">
        <v>0</v>
      </c>
      <c r="X105" s="7">
        <v>42489</v>
      </c>
      <c r="Y105" s="6">
        <v>0</v>
      </c>
      <c r="Z105" s="8">
        <v>2</v>
      </c>
      <c r="AA105" s="9">
        <f>DATEDIF(Table1[[#This Row],[DateofBirth]],"1-1-2020","y")</f>
        <v>49</v>
      </c>
      <c r="AB105" s="10" t="str" cm="1">
        <f t="array" ref="AB105">_xlfn.IFS(Table1[[#This Row],[age]]&lt; 20,"&lt;20",Table1[[#This Row],[age]]&lt; 30,"21-30",Table1[[#This Row],[age]]&lt; 40,"31-40", Table1[[#This Row],[age]]&lt; 50,"41-50",Table1[[#This Row],[age]]&lt; 60,"51-60",Table1[[#This Row],[age]]&lt;70,"60+")</f>
        <v>41-50</v>
      </c>
    </row>
    <row r="106" spans="1:28" ht="13.5" customHeight="1">
      <c r="A106" s="5" t="s">
        <v>235</v>
      </c>
      <c r="B106" s="6">
        <v>10142</v>
      </c>
      <c r="C106" s="6">
        <v>59370</v>
      </c>
      <c r="D106" s="6" t="s">
        <v>131</v>
      </c>
      <c r="E106" s="6" t="s">
        <v>236</v>
      </c>
      <c r="F106" s="6">
        <v>43050</v>
      </c>
      <c r="G106" s="7">
        <v>26213</v>
      </c>
      <c r="H106" s="6" t="s">
        <v>53</v>
      </c>
      <c r="I106" s="6" t="s">
        <v>70</v>
      </c>
      <c r="J106" s="6" t="s">
        <v>33</v>
      </c>
      <c r="K106" s="6" t="s">
        <v>34</v>
      </c>
      <c r="L106" s="6" t="s">
        <v>74</v>
      </c>
      <c r="M106" s="7">
        <v>41827</v>
      </c>
      <c r="N106" s="7">
        <v>42133</v>
      </c>
      <c r="O106" s="6" t="s">
        <v>95</v>
      </c>
      <c r="P106" s="6" t="s">
        <v>96</v>
      </c>
      <c r="Q106" s="6" t="s">
        <v>133</v>
      </c>
      <c r="R106" s="6" t="s">
        <v>134</v>
      </c>
      <c r="S106" s="6" t="s">
        <v>109</v>
      </c>
      <c r="T106" s="6" t="s">
        <v>50</v>
      </c>
      <c r="U106" s="6">
        <v>3.97</v>
      </c>
      <c r="V106" s="6">
        <v>4</v>
      </c>
      <c r="W106" s="6">
        <v>0</v>
      </c>
      <c r="X106" s="7">
        <v>41654</v>
      </c>
      <c r="Y106" s="6">
        <v>0</v>
      </c>
      <c r="Z106" s="8">
        <v>7</v>
      </c>
      <c r="AA106" s="9">
        <f>DATEDIF(Table1[[#This Row],[DateofBirth]],"1-1-2020","y")</f>
        <v>48</v>
      </c>
      <c r="AB106" s="10" t="str" cm="1">
        <f t="array" ref="AB106">_xlfn.IFS(Table1[[#This Row],[age]]&lt; 20,"&lt;20",Table1[[#This Row],[age]]&lt; 30,"21-30",Table1[[#This Row],[age]]&lt; 40,"31-40", Table1[[#This Row],[age]]&lt; 50,"41-50",Table1[[#This Row],[age]]&lt; 60,"51-60",Table1[[#This Row],[age]]&lt;70,"60+")</f>
        <v>41-50</v>
      </c>
    </row>
    <row r="107" spans="1:28" ht="13.5" customHeight="1">
      <c r="A107" s="5" t="s">
        <v>237</v>
      </c>
      <c r="B107" s="6">
        <v>10283</v>
      </c>
      <c r="C107" s="6">
        <v>54933</v>
      </c>
      <c r="D107" s="6" t="s">
        <v>29</v>
      </c>
      <c r="E107" s="6" t="s">
        <v>30</v>
      </c>
      <c r="F107" s="6">
        <v>2062</v>
      </c>
      <c r="G107" s="7">
        <v>27280</v>
      </c>
      <c r="H107" s="6" t="s">
        <v>31</v>
      </c>
      <c r="I107" s="6" t="s">
        <v>44</v>
      </c>
      <c r="J107" s="6" t="s">
        <v>33</v>
      </c>
      <c r="K107" s="6" t="s">
        <v>34</v>
      </c>
      <c r="L107" s="6" t="s">
        <v>74</v>
      </c>
      <c r="M107" s="7">
        <v>40943</v>
      </c>
      <c r="N107" s="7">
        <v>42180</v>
      </c>
      <c r="O107" s="6" t="s">
        <v>204</v>
      </c>
      <c r="P107" s="6" t="s">
        <v>46</v>
      </c>
      <c r="Q107" s="6" t="s">
        <v>38</v>
      </c>
      <c r="R107" s="6" t="s">
        <v>61</v>
      </c>
      <c r="S107" s="6" t="s">
        <v>76</v>
      </c>
      <c r="T107" s="6" t="s">
        <v>110</v>
      </c>
      <c r="U107" s="6">
        <v>3.97</v>
      </c>
      <c r="V107" s="6">
        <v>4</v>
      </c>
      <c r="W107" s="6">
        <v>0</v>
      </c>
      <c r="X107" s="7">
        <v>42024</v>
      </c>
      <c r="Y107" s="6">
        <v>3</v>
      </c>
      <c r="Z107" s="8">
        <v>15</v>
      </c>
      <c r="AA107" s="9">
        <f>DATEDIF(Table1[[#This Row],[DateofBirth]],"1-1-2020","y")</f>
        <v>45</v>
      </c>
      <c r="AB107" s="10" t="str" cm="1">
        <f t="array" ref="AB107">_xlfn.IFS(Table1[[#This Row],[age]]&lt; 20,"&lt;20",Table1[[#This Row],[age]]&lt; 30,"21-30",Table1[[#This Row],[age]]&lt; 40,"31-40", Table1[[#This Row],[age]]&lt; 50,"41-50",Table1[[#This Row],[age]]&lt; 60,"51-60",Table1[[#This Row],[age]]&lt;70,"60+")</f>
        <v>41-50</v>
      </c>
    </row>
    <row r="108" spans="1:28" ht="13.5" customHeight="1">
      <c r="A108" s="5" t="s">
        <v>238</v>
      </c>
      <c r="B108" s="6">
        <v>10018</v>
      </c>
      <c r="C108" s="6">
        <v>57815</v>
      </c>
      <c r="D108" s="6" t="s">
        <v>29</v>
      </c>
      <c r="E108" s="6" t="s">
        <v>30</v>
      </c>
      <c r="F108" s="6">
        <v>2451</v>
      </c>
      <c r="G108" s="7">
        <v>29438</v>
      </c>
      <c r="H108" s="6" t="s">
        <v>53</v>
      </c>
      <c r="I108" s="6" t="s">
        <v>32</v>
      </c>
      <c r="J108" s="6" t="s">
        <v>33</v>
      </c>
      <c r="K108" s="6" t="s">
        <v>81</v>
      </c>
      <c r="L108" s="6" t="s">
        <v>90</v>
      </c>
      <c r="M108" s="7">
        <v>41911</v>
      </c>
      <c r="N108" s="7">
        <v>32874</v>
      </c>
      <c r="O108" s="6" t="s">
        <v>36</v>
      </c>
      <c r="P108" s="6" t="s">
        <v>37</v>
      </c>
      <c r="Q108" s="6" t="s">
        <v>38</v>
      </c>
      <c r="R108" s="6" t="s">
        <v>64</v>
      </c>
      <c r="S108" s="6" t="s">
        <v>49</v>
      </c>
      <c r="T108" s="6" t="s">
        <v>41</v>
      </c>
      <c r="U108" s="6">
        <v>3.9</v>
      </c>
      <c r="V108" s="6">
        <v>4</v>
      </c>
      <c r="W108" s="6">
        <v>0</v>
      </c>
      <c r="X108" s="7">
        <v>43648</v>
      </c>
      <c r="Y108" s="6">
        <v>0</v>
      </c>
      <c r="Z108" s="8">
        <v>3</v>
      </c>
      <c r="AA108" s="9">
        <f>DATEDIF(Table1[[#This Row],[DateofBirth]],"1-1-2020","y")</f>
        <v>39</v>
      </c>
      <c r="AB108" s="10" t="str" cm="1">
        <f t="array" ref="AB108">_xlfn.IFS(Table1[[#This Row],[age]]&lt; 20,"&lt;20",Table1[[#This Row],[age]]&lt; 30,"21-30",Table1[[#This Row],[age]]&lt; 40,"31-40", Table1[[#This Row],[age]]&lt; 50,"41-50",Table1[[#This Row],[age]]&lt; 60,"51-60",Table1[[#This Row],[age]]&lt;70,"60+")</f>
        <v>31-40</v>
      </c>
    </row>
    <row r="109" spans="1:28" ht="13.5" customHeight="1">
      <c r="A109" s="5" t="s">
        <v>239</v>
      </c>
      <c r="B109" s="6">
        <v>10255</v>
      </c>
      <c r="C109" s="6">
        <v>61555</v>
      </c>
      <c r="D109" s="6" t="s">
        <v>131</v>
      </c>
      <c r="E109" s="6" t="s">
        <v>240</v>
      </c>
      <c r="F109" s="6">
        <v>46204</v>
      </c>
      <c r="G109" s="7">
        <v>32773</v>
      </c>
      <c r="H109" s="6" t="s">
        <v>53</v>
      </c>
      <c r="I109" s="6" t="s">
        <v>32</v>
      </c>
      <c r="J109" s="6" t="s">
        <v>33</v>
      </c>
      <c r="K109" s="6" t="s">
        <v>34</v>
      </c>
      <c r="L109" s="6" t="s">
        <v>35</v>
      </c>
      <c r="M109" s="7">
        <v>42051</v>
      </c>
      <c r="N109" s="7">
        <v>32874</v>
      </c>
      <c r="O109" s="6" t="s">
        <v>36</v>
      </c>
      <c r="P109" s="6" t="s">
        <v>37</v>
      </c>
      <c r="Q109" s="6" t="s">
        <v>133</v>
      </c>
      <c r="R109" s="6" t="s">
        <v>152</v>
      </c>
      <c r="S109" s="6" t="s">
        <v>49</v>
      </c>
      <c r="T109" s="6" t="s">
        <v>50</v>
      </c>
      <c r="U109" s="6">
        <v>4.5</v>
      </c>
      <c r="V109" s="6">
        <v>5</v>
      </c>
      <c r="W109" s="6">
        <v>0</v>
      </c>
      <c r="X109" s="7">
        <v>43490</v>
      </c>
      <c r="Y109" s="6">
        <v>0</v>
      </c>
      <c r="Z109" s="8">
        <v>20</v>
      </c>
      <c r="AA109" s="9">
        <f>DATEDIF(Table1[[#This Row],[DateofBirth]],"1-1-2020","y")</f>
        <v>30</v>
      </c>
      <c r="AB109" s="10" t="str" cm="1">
        <f t="array" ref="AB109">_xlfn.IFS(Table1[[#This Row],[age]]&lt; 20,"&lt;20",Table1[[#This Row],[age]]&lt; 30,"21-30",Table1[[#This Row],[age]]&lt; 40,"31-40", Table1[[#This Row],[age]]&lt; 50,"41-50",Table1[[#This Row],[age]]&lt; 60,"51-60",Table1[[#This Row],[age]]&lt;70,"60+")</f>
        <v>31-40</v>
      </c>
    </row>
    <row r="110" spans="1:28" ht="13.5" customHeight="1">
      <c r="A110" s="5" t="s">
        <v>241</v>
      </c>
      <c r="B110" s="6">
        <v>10246</v>
      </c>
      <c r="C110" s="6">
        <v>114800</v>
      </c>
      <c r="D110" s="6" t="s">
        <v>101</v>
      </c>
      <c r="E110" s="6" t="s">
        <v>30</v>
      </c>
      <c r="F110" s="6">
        <v>2127</v>
      </c>
      <c r="G110" s="7">
        <v>26229</v>
      </c>
      <c r="H110" s="6" t="s">
        <v>53</v>
      </c>
      <c r="I110" s="6" t="s">
        <v>32</v>
      </c>
      <c r="J110" s="6" t="s">
        <v>33</v>
      </c>
      <c r="K110" s="6" t="s">
        <v>34</v>
      </c>
      <c r="L110" s="6" t="s">
        <v>35</v>
      </c>
      <c r="M110" s="7">
        <v>42051</v>
      </c>
      <c r="N110" s="7">
        <v>42078</v>
      </c>
      <c r="O110" s="6" t="s">
        <v>210</v>
      </c>
      <c r="P110" s="6" t="s">
        <v>96</v>
      </c>
      <c r="Q110" s="6" t="s">
        <v>47</v>
      </c>
      <c r="R110" s="6" t="s">
        <v>48</v>
      </c>
      <c r="S110" s="6" t="s">
        <v>49</v>
      </c>
      <c r="T110" s="6" t="s">
        <v>50</v>
      </c>
      <c r="U110" s="6">
        <v>4.5999999999999996</v>
      </c>
      <c r="V110" s="6">
        <v>4</v>
      </c>
      <c r="W110" s="6">
        <v>4</v>
      </c>
      <c r="X110" s="7">
        <v>42024</v>
      </c>
      <c r="Y110" s="6">
        <v>0</v>
      </c>
      <c r="Z110" s="8">
        <v>10</v>
      </c>
      <c r="AA110" s="9">
        <f>DATEDIF(Table1[[#This Row],[DateofBirth]],"1-1-2020","y")</f>
        <v>48</v>
      </c>
      <c r="AB110" s="10" t="str" cm="1">
        <f t="array" ref="AB110">_xlfn.IFS(Table1[[#This Row],[age]]&lt; 20,"&lt;20",Table1[[#This Row],[age]]&lt; 30,"21-30",Table1[[#This Row],[age]]&lt; 40,"31-40", Table1[[#This Row],[age]]&lt; 50,"41-50",Table1[[#This Row],[age]]&lt; 60,"51-60",Table1[[#This Row],[age]]&lt;70,"60+")</f>
        <v>41-50</v>
      </c>
    </row>
    <row r="111" spans="1:28" ht="13.5" customHeight="1">
      <c r="A111" s="5" t="s">
        <v>242</v>
      </c>
      <c r="B111" s="6">
        <v>10228</v>
      </c>
      <c r="C111" s="6">
        <v>74679</v>
      </c>
      <c r="D111" s="6" t="s">
        <v>78</v>
      </c>
      <c r="E111" s="6" t="s">
        <v>30</v>
      </c>
      <c r="F111" s="6">
        <v>2135</v>
      </c>
      <c r="G111" s="7">
        <v>32836</v>
      </c>
      <c r="H111" s="6" t="s">
        <v>31</v>
      </c>
      <c r="I111" s="6" t="s">
        <v>44</v>
      </c>
      <c r="J111" s="6" t="s">
        <v>33</v>
      </c>
      <c r="K111" s="6" t="s">
        <v>81</v>
      </c>
      <c r="L111" s="6" t="s">
        <v>35</v>
      </c>
      <c r="M111" s="7">
        <v>42093</v>
      </c>
      <c r="N111" s="7">
        <v>32874</v>
      </c>
      <c r="O111" s="6" t="s">
        <v>36</v>
      </c>
      <c r="P111" s="6" t="s">
        <v>37</v>
      </c>
      <c r="Q111" s="6" t="s">
        <v>47</v>
      </c>
      <c r="R111" s="6" t="s">
        <v>79</v>
      </c>
      <c r="S111" s="6" t="s">
        <v>40</v>
      </c>
      <c r="T111" s="6" t="s">
        <v>50</v>
      </c>
      <c r="U111" s="6">
        <v>4.3</v>
      </c>
      <c r="V111" s="6">
        <v>5</v>
      </c>
      <c r="W111" s="6">
        <v>7</v>
      </c>
      <c r="X111" s="7">
        <v>43739</v>
      </c>
      <c r="Y111" s="6">
        <v>0</v>
      </c>
      <c r="Z111" s="8">
        <v>20</v>
      </c>
      <c r="AA111" s="9">
        <f>DATEDIF(Table1[[#This Row],[DateofBirth]],"1-1-2020","y")</f>
        <v>30</v>
      </c>
      <c r="AB111" s="10" t="str" cm="1">
        <f t="array" ref="AB111">_xlfn.IFS(Table1[[#This Row],[age]]&lt; 20,"&lt;20",Table1[[#This Row],[age]]&lt; 30,"21-30",Table1[[#This Row],[age]]&lt; 40,"31-40", Table1[[#This Row],[age]]&lt; 50,"41-50",Table1[[#This Row],[age]]&lt; 60,"51-60",Table1[[#This Row],[age]]&lt;70,"60+")</f>
        <v>31-40</v>
      </c>
    </row>
    <row r="112" spans="1:28" ht="13.5" customHeight="1">
      <c r="A112" s="5" t="s">
        <v>243</v>
      </c>
      <c r="B112" s="6">
        <v>10243</v>
      </c>
      <c r="C112" s="6">
        <v>53018</v>
      </c>
      <c r="D112" s="6" t="s">
        <v>29</v>
      </c>
      <c r="E112" s="6" t="s">
        <v>30</v>
      </c>
      <c r="F112" s="6">
        <v>2451</v>
      </c>
      <c r="G112" s="7">
        <v>33773</v>
      </c>
      <c r="H112" s="6" t="s">
        <v>53</v>
      </c>
      <c r="I112" s="6" t="s">
        <v>32</v>
      </c>
      <c r="J112" s="6" t="s">
        <v>33</v>
      </c>
      <c r="K112" s="6" t="s">
        <v>81</v>
      </c>
      <c r="L112" s="6" t="s">
        <v>35</v>
      </c>
      <c r="M112" s="7">
        <v>41589</v>
      </c>
      <c r="N112" s="7">
        <v>32874</v>
      </c>
      <c r="O112" s="6" t="s">
        <v>36</v>
      </c>
      <c r="P112" s="6" t="s">
        <v>37</v>
      </c>
      <c r="Q112" s="6" t="s">
        <v>38</v>
      </c>
      <c r="R112" s="6" t="s">
        <v>71</v>
      </c>
      <c r="S112" s="6" t="s">
        <v>49</v>
      </c>
      <c r="T112" s="6" t="s">
        <v>50</v>
      </c>
      <c r="U112" s="6">
        <v>4.3</v>
      </c>
      <c r="V112" s="6">
        <v>5</v>
      </c>
      <c r="W112" s="6">
        <v>0</v>
      </c>
      <c r="X112" s="7">
        <v>43514</v>
      </c>
      <c r="Y112" s="6">
        <v>0</v>
      </c>
      <c r="Z112" s="8">
        <v>7</v>
      </c>
      <c r="AA112" s="9">
        <f>DATEDIF(Table1[[#This Row],[DateofBirth]],"1-1-2020","y")</f>
        <v>27</v>
      </c>
      <c r="AB112" s="10" t="str" cm="1">
        <f t="array" ref="AB112">_xlfn.IFS(Table1[[#This Row],[age]]&lt; 20,"&lt;20",Table1[[#This Row],[age]]&lt; 30,"21-30",Table1[[#This Row],[age]]&lt; 40,"31-40", Table1[[#This Row],[age]]&lt; 50,"41-50",Table1[[#This Row],[age]]&lt; 60,"51-60",Table1[[#This Row],[age]]&lt;70,"60+")</f>
        <v>21-30</v>
      </c>
    </row>
    <row r="113" spans="1:28" ht="13.5" customHeight="1">
      <c r="A113" s="5" t="s">
        <v>244</v>
      </c>
      <c r="B113" s="6">
        <v>10031</v>
      </c>
      <c r="C113" s="6">
        <v>59892</v>
      </c>
      <c r="D113" s="6" t="s">
        <v>29</v>
      </c>
      <c r="E113" s="6" t="s">
        <v>30</v>
      </c>
      <c r="F113" s="6">
        <v>2108</v>
      </c>
      <c r="G113" s="7">
        <v>25475</v>
      </c>
      <c r="H113" s="6" t="s">
        <v>31</v>
      </c>
      <c r="I113" s="6" t="s">
        <v>59</v>
      </c>
      <c r="J113" s="6" t="s">
        <v>33</v>
      </c>
      <c r="K113" s="6" t="s">
        <v>34</v>
      </c>
      <c r="L113" s="6" t="s">
        <v>74</v>
      </c>
      <c r="M113" s="7">
        <v>40854</v>
      </c>
      <c r="N113" s="7">
        <v>32874</v>
      </c>
      <c r="O113" s="6" t="s">
        <v>36</v>
      </c>
      <c r="P113" s="6" t="s">
        <v>37</v>
      </c>
      <c r="Q113" s="6" t="s">
        <v>38</v>
      </c>
      <c r="R113" s="6" t="s">
        <v>75</v>
      </c>
      <c r="S113" s="6" t="s">
        <v>76</v>
      </c>
      <c r="T113" s="6" t="s">
        <v>41</v>
      </c>
      <c r="U113" s="6">
        <v>4.5</v>
      </c>
      <c r="V113" s="6">
        <v>4</v>
      </c>
      <c r="W113" s="6">
        <v>0</v>
      </c>
      <c r="X113" s="7">
        <v>43514</v>
      </c>
      <c r="Y113" s="6">
        <v>0</v>
      </c>
      <c r="Z113" s="8">
        <v>1</v>
      </c>
      <c r="AA113" s="9">
        <f>DATEDIF(Table1[[#This Row],[DateofBirth]],"1-1-2020","y")</f>
        <v>50</v>
      </c>
      <c r="AB113" s="10" t="str" cm="1">
        <f t="array" ref="AB113">_xlfn.IFS(Table1[[#This Row],[age]]&lt; 20,"&lt;20",Table1[[#This Row],[age]]&lt; 30,"21-30",Table1[[#This Row],[age]]&lt; 40,"31-40", Table1[[#This Row],[age]]&lt; 50,"41-50",Table1[[#This Row],[age]]&lt; 60,"51-60",Table1[[#This Row],[age]]&lt;70,"60+")</f>
        <v>51-60</v>
      </c>
    </row>
    <row r="114" spans="1:28" ht="13.5" customHeight="1">
      <c r="A114" s="5" t="s">
        <v>245</v>
      </c>
      <c r="B114" s="6">
        <v>10300</v>
      </c>
      <c r="C114" s="6">
        <v>68898</v>
      </c>
      <c r="D114" s="6" t="s">
        <v>52</v>
      </c>
      <c r="E114" s="6" t="s">
        <v>30</v>
      </c>
      <c r="F114" s="6">
        <v>2128</v>
      </c>
      <c r="G114" s="7">
        <v>23721</v>
      </c>
      <c r="H114" s="6" t="s">
        <v>31</v>
      </c>
      <c r="I114" s="6" t="s">
        <v>44</v>
      </c>
      <c r="J114" s="6" t="s">
        <v>33</v>
      </c>
      <c r="K114" s="6" t="s">
        <v>34</v>
      </c>
      <c r="L114" s="6" t="s">
        <v>74</v>
      </c>
      <c r="M114" s="7">
        <v>40294</v>
      </c>
      <c r="N114" s="7">
        <v>40693</v>
      </c>
      <c r="O114" s="6" t="s">
        <v>45</v>
      </c>
      <c r="P114" s="6" t="s">
        <v>46</v>
      </c>
      <c r="Q114" s="6" t="s">
        <v>38</v>
      </c>
      <c r="R114" s="6" t="s">
        <v>75</v>
      </c>
      <c r="S114" s="6" t="s">
        <v>76</v>
      </c>
      <c r="T114" s="6" t="s">
        <v>183</v>
      </c>
      <c r="U114" s="6">
        <v>3</v>
      </c>
      <c r="V114" s="6">
        <v>3</v>
      </c>
      <c r="W114" s="6">
        <v>0</v>
      </c>
      <c r="X114" s="7">
        <v>40697</v>
      </c>
      <c r="Y114" s="6">
        <v>3</v>
      </c>
      <c r="Z114" s="8">
        <v>10</v>
      </c>
      <c r="AA114" s="9">
        <f>DATEDIF(Table1[[#This Row],[DateofBirth]],"1-1-2020","y")</f>
        <v>55</v>
      </c>
      <c r="AB114" s="10" t="str" cm="1">
        <f t="array" ref="AB114">_xlfn.IFS(Table1[[#This Row],[age]]&lt; 20,"&lt;20",Table1[[#This Row],[age]]&lt; 30,"21-30",Table1[[#This Row],[age]]&lt; 40,"31-40", Table1[[#This Row],[age]]&lt; 50,"41-50",Table1[[#This Row],[age]]&lt; 60,"51-60",Table1[[#This Row],[age]]&lt;70,"60+")</f>
        <v>51-60</v>
      </c>
    </row>
    <row r="115" spans="1:28" ht="13.5" customHeight="1">
      <c r="A115" s="5" t="s">
        <v>246</v>
      </c>
      <c r="B115" s="6">
        <v>10101</v>
      </c>
      <c r="C115" s="6">
        <v>61242</v>
      </c>
      <c r="D115" s="6" t="s">
        <v>78</v>
      </c>
      <c r="E115" s="6" t="s">
        <v>30</v>
      </c>
      <c r="F115" s="6">
        <v>2472</v>
      </c>
      <c r="G115" s="7">
        <v>29692</v>
      </c>
      <c r="H115" s="6" t="s">
        <v>53</v>
      </c>
      <c r="I115" s="6" t="s">
        <v>129</v>
      </c>
      <c r="J115" s="6" t="s">
        <v>33</v>
      </c>
      <c r="K115" s="6" t="s">
        <v>81</v>
      </c>
      <c r="L115" s="6" t="s">
        <v>35</v>
      </c>
      <c r="M115" s="7">
        <v>42125</v>
      </c>
      <c r="N115" s="7">
        <v>32874</v>
      </c>
      <c r="O115" s="6" t="s">
        <v>36</v>
      </c>
      <c r="P115" s="6" t="s">
        <v>37</v>
      </c>
      <c r="Q115" s="6" t="s">
        <v>47</v>
      </c>
      <c r="R115" s="6" t="s">
        <v>79</v>
      </c>
      <c r="S115" s="6" t="s">
        <v>72</v>
      </c>
      <c r="T115" s="6" t="s">
        <v>50</v>
      </c>
      <c r="U115" s="6">
        <v>4.6100000000000003</v>
      </c>
      <c r="V115" s="6">
        <v>4</v>
      </c>
      <c r="W115" s="6">
        <v>5</v>
      </c>
      <c r="X115" s="7">
        <v>43493</v>
      </c>
      <c r="Y115" s="6">
        <v>0</v>
      </c>
      <c r="Z115" s="8">
        <v>11</v>
      </c>
      <c r="AA115" s="9">
        <f>DATEDIF(Table1[[#This Row],[DateofBirth]],"1-1-2020","y")</f>
        <v>38</v>
      </c>
      <c r="AB115" s="10" t="str" cm="1">
        <f t="array" ref="AB115">_xlfn.IFS(Table1[[#This Row],[age]]&lt; 20,"&lt;20",Table1[[#This Row],[age]]&lt; 30,"21-30",Table1[[#This Row],[age]]&lt; 40,"31-40", Table1[[#This Row],[age]]&lt; 50,"41-50",Table1[[#This Row],[age]]&lt; 60,"51-60",Table1[[#This Row],[age]]&lt;70,"60+")</f>
        <v>31-40</v>
      </c>
    </row>
    <row r="116" spans="1:28" ht="13.5" customHeight="1">
      <c r="A116" s="5" t="s">
        <v>247</v>
      </c>
      <c r="B116" s="6">
        <v>10237</v>
      </c>
      <c r="C116" s="6">
        <v>66825</v>
      </c>
      <c r="D116" s="6" t="s">
        <v>52</v>
      </c>
      <c r="E116" s="6" t="s">
        <v>30</v>
      </c>
      <c r="F116" s="6">
        <v>1886</v>
      </c>
      <c r="G116" s="7">
        <v>31557</v>
      </c>
      <c r="H116" s="6" t="s">
        <v>53</v>
      </c>
      <c r="I116" s="6" t="s">
        <v>44</v>
      </c>
      <c r="J116" s="6" t="s">
        <v>33</v>
      </c>
      <c r="K116" s="6" t="s">
        <v>34</v>
      </c>
      <c r="L116" s="6" t="s">
        <v>35</v>
      </c>
      <c r="M116" s="7">
        <v>41978</v>
      </c>
      <c r="N116" s="7">
        <v>32874</v>
      </c>
      <c r="O116" s="6" t="s">
        <v>36</v>
      </c>
      <c r="P116" s="6" t="s">
        <v>37</v>
      </c>
      <c r="Q116" s="6" t="s">
        <v>38</v>
      </c>
      <c r="R116" s="6" t="s">
        <v>83</v>
      </c>
      <c r="S116" s="6" t="s">
        <v>40</v>
      </c>
      <c r="T116" s="6" t="s">
        <v>50</v>
      </c>
      <c r="U116" s="6">
        <v>4.5999999999999996</v>
      </c>
      <c r="V116" s="6">
        <v>3</v>
      </c>
      <c r="W116" s="6">
        <v>0</v>
      </c>
      <c r="X116" s="7">
        <v>43648</v>
      </c>
      <c r="Y116" s="6">
        <v>0</v>
      </c>
      <c r="Z116" s="8">
        <v>20</v>
      </c>
      <c r="AA116" s="9">
        <f>DATEDIF(Table1[[#This Row],[DateofBirth]],"1-1-2020","y")</f>
        <v>33</v>
      </c>
      <c r="AB116" s="10" t="str" cm="1">
        <f t="array" ref="AB116">_xlfn.IFS(Table1[[#This Row],[age]]&lt; 20,"&lt;20",Table1[[#This Row],[age]]&lt; 30,"21-30",Table1[[#This Row],[age]]&lt; 40,"31-40", Table1[[#This Row],[age]]&lt; 50,"41-50",Table1[[#This Row],[age]]&lt; 60,"51-60",Table1[[#This Row],[age]]&lt;70,"60+")</f>
        <v>31-40</v>
      </c>
    </row>
    <row r="117" spans="1:28" ht="13.5" customHeight="1">
      <c r="A117" s="5" t="s">
        <v>248</v>
      </c>
      <c r="B117" s="6">
        <v>10051</v>
      </c>
      <c r="C117" s="6">
        <v>48285</v>
      </c>
      <c r="D117" s="6" t="s">
        <v>29</v>
      </c>
      <c r="E117" s="6" t="s">
        <v>30</v>
      </c>
      <c r="F117" s="6">
        <v>2169</v>
      </c>
      <c r="G117" s="7">
        <v>28996</v>
      </c>
      <c r="H117" s="6" t="s">
        <v>31</v>
      </c>
      <c r="I117" s="6" t="s">
        <v>44</v>
      </c>
      <c r="J117" s="6" t="s">
        <v>33</v>
      </c>
      <c r="K117" s="6" t="s">
        <v>34</v>
      </c>
      <c r="L117" s="6" t="s">
        <v>35</v>
      </c>
      <c r="M117" s="7">
        <v>40946</v>
      </c>
      <c r="N117" s="7">
        <v>32874</v>
      </c>
      <c r="O117" s="6" t="s">
        <v>36</v>
      </c>
      <c r="P117" s="6" t="s">
        <v>37</v>
      </c>
      <c r="Q117" s="6" t="s">
        <v>38</v>
      </c>
      <c r="R117" s="6" t="s">
        <v>83</v>
      </c>
      <c r="S117" s="6" t="s">
        <v>40</v>
      </c>
      <c r="T117" s="6" t="s">
        <v>50</v>
      </c>
      <c r="U117" s="6">
        <v>5</v>
      </c>
      <c r="V117" s="6">
        <v>3</v>
      </c>
      <c r="W117" s="6">
        <v>0</v>
      </c>
      <c r="X117" s="7">
        <v>43479</v>
      </c>
      <c r="Y117" s="6">
        <v>0</v>
      </c>
      <c r="Z117" s="8">
        <v>2</v>
      </c>
      <c r="AA117" s="9">
        <f>DATEDIF(Table1[[#This Row],[DateofBirth]],"1-1-2020","y")</f>
        <v>40</v>
      </c>
      <c r="AB117" s="10" t="str" cm="1">
        <f t="array" ref="AB117">_xlfn.IFS(Table1[[#This Row],[age]]&lt; 20,"&lt;20",Table1[[#This Row],[age]]&lt; 30,"21-30",Table1[[#This Row],[age]]&lt; 40,"31-40", Table1[[#This Row],[age]]&lt; 50,"41-50",Table1[[#This Row],[age]]&lt; 60,"51-60",Table1[[#This Row],[age]]&lt;70,"60+")</f>
        <v>41-50</v>
      </c>
    </row>
    <row r="118" spans="1:28" ht="13.5" customHeight="1">
      <c r="A118" s="5" t="s">
        <v>249</v>
      </c>
      <c r="B118" s="6">
        <v>10218</v>
      </c>
      <c r="C118" s="6">
        <v>66149</v>
      </c>
      <c r="D118" s="6" t="s">
        <v>52</v>
      </c>
      <c r="E118" s="6" t="s">
        <v>30</v>
      </c>
      <c r="F118" s="6">
        <v>1824</v>
      </c>
      <c r="G118" s="7">
        <v>30540</v>
      </c>
      <c r="H118" s="6" t="s">
        <v>53</v>
      </c>
      <c r="I118" s="6" t="s">
        <v>129</v>
      </c>
      <c r="J118" s="6" t="s">
        <v>33</v>
      </c>
      <c r="K118" s="6" t="s">
        <v>34</v>
      </c>
      <c r="L118" s="6" t="s">
        <v>250</v>
      </c>
      <c r="M118" s="7">
        <v>41547</v>
      </c>
      <c r="N118" s="7">
        <v>32874</v>
      </c>
      <c r="O118" s="6" t="s">
        <v>36</v>
      </c>
      <c r="P118" s="6" t="s">
        <v>37</v>
      </c>
      <c r="Q118" s="6" t="s">
        <v>38</v>
      </c>
      <c r="R118" s="6" t="s">
        <v>55</v>
      </c>
      <c r="S118" s="6" t="s">
        <v>62</v>
      </c>
      <c r="T118" s="6" t="s">
        <v>50</v>
      </c>
      <c r="U118" s="6">
        <v>4.4000000000000004</v>
      </c>
      <c r="V118" s="6">
        <v>5</v>
      </c>
      <c r="W118" s="6">
        <v>0</v>
      </c>
      <c r="X118" s="7">
        <v>43517</v>
      </c>
      <c r="Y118" s="6">
        <v>0</v>
      </c>
      <c r="Z118" s="8">
        <v>1</v>
      </c>
      <c r="AA118" s="9">
        <f>DATEDIF(Table1[[#This Row],[DateofBirth]],"1-1-2020","y")</f>
        <v>36</v>
      </c>
      <c r="AB118" s="10" t="str" cm="1">
        <f t="array" ref="AB118">_xlfn.IFS(Table1[[#This Row],[age]]&lt; 20,"&lt;20",Table1[[#This Row],[age]]&lt; 30,"21-30",Table1[[#This Row],[age]]&lt; 40,"31-40", Table1[[#This Row],[age]]&lt; 50,"41-50",Table1[[#This Row],[age]]&lt; 60,"51-60",Table1[[#This Row],[age]]&lt;70,"60+")</f>
        <v>31-40</v>
      </c>
    </row>
    <row r="119" spans="1:28" ht="13.5" customHeight="1">
      <c r="A119" s="5" t="s">
        <v>251</v>
      </c>
      <c r="B119" s="6">
        <v>10256</v>
      </c>
      <c r="C119" s="6">
        <v>49256</v>
      </c>
      <c r="D119" s="6" t="s">
        <v>29</v>
      </c>
      <c r="E119" s="6" t="s">
        <v>30</v>
      </c>
      <c r="F119" s="6">
        <v>1864</v>
      </c>
      <c r="G119" s="7">
        <v>27282</v>
      </c>
      <c r="H119" s="6" t="s">
        <v>53</v>
      </c>
      <c r="I119" s="6" t="s">
        <v>44</v>
      </c>
      <c r="J119" s="6" t="s">
        <v>33</v>
      </c>
      <c r="K119" s="6" t="s">
        <v>34</v>
      </c>
      <c r="L119" s="6" t="s">
        <v>104</v>
      </c>
      <c r="M119" s="7">
        <v>41505</v>
      </c>
      <c r="N119" s="7">
        <v>32874</v>
      </c>
      <c r="O119" s="6" t="s">
        <v>36</v>
      </c>
      <c r="P119" s="6" t="s">
        <v>37</v>
      </c>
      <c r="Q119" s="6" t="s">
        <v>38</v>
      </c>
      <c r="R119" s="6" t="s">
        <v>55</v>
      </c>
      <c r="S119" s="6" t="s">
        <v>40</v>
      </c>
      <c r="T119" s="6" t="s">
        <v>50</v>
      </c>
      <c r="U119" s="6">
        <v>4.0999999999999996</v>
      </c>
      <c r="V119" s="6">
        <v>5</v>
      </c>
      <c r="W119" s="6">
        <v>0</v>
      </c>
      <c r="X119" s="7">
        <v>43511</v>
      </c>
      <c r="Y119" s="6">
        <v>0</v>
      </c>
      <c r="Z119" s="8">
        <v>3</v>
      </c>
      <c r="AA119" s="9">
        <f>DATEDIF(Table1[[#This Row],[DateofBirth]],"1-1-2020","y")</f>
        <v>45</v>
      </c>
      <c r="AB119" s="10" t="str" cm="1">
        <f t="array" ref="AB119">_xlfn.IFS(Table1[[#This Row],[age]]&lt; 20,"&lt;20",Table1[[#This Row],[age]]&lt; 30,"21-30",Table1[[#This Row],[age]]&lt; 40,"31-40", Table1[[#This Row],[age]]&lt; 50,"41-50",Table1[[#This Row],[age]]&lt; 60,"51-60",Table1[[#This Row],[age]]&lt;70,"60+")</f>
        <v>41-50</v>
      </c>
    </row>
    <row r="120" spans="1:28" ht="13.5" customHeight="1">
      <c r="A120" s="5" t="s">
        <v>252</v>
      </c>
      <c r="B120" s="6">
        <v>10098</v>
      </c>
      <c r="C120" s="6">
        <v>62957</v>
      </c>
      <c r="D120" s="6" t="s">
        <v>121</v>
      </c>
      <c r="E120" s="6" t="s">
        <v>30</v>
      </c>
      <c r="F120" s="6">
        <v>1752</v>
      </c>
      <c r="G120" s="7">
        <v>29897</v>
      </c>
      <c r="H120" s="6" t="s">
        <v>31</v>
      </c>
      <c r="I120" s="6" t="s">
        <v>59</v>
      </c>
      <c r="J120" s="6" t="s">
        <v>33</v>
      </c>
      <c r="K120" s="6" t="s">
        <v>34</v>
      </c>
      <c r="L120" s="6" t="s">
        <v>35</v>
      </c>
      <c r="M120" s="7">
        <v>42041</v>
      </c>
      <c r="N120" s="7">
        <v>32874</v>
      </c>
      <c r="O120" s="6" t="s">
        <v>36</v>
      </c>
      <c r="P120" s="6" t="s">
        <v>37</v>
      </c>
      <c r="Q120" s="6" t="s">
        <v>38</v>
      </c>
      <c r="R120" s="6" t="s">
        <v>123</v>
      </c>
      <c r="S120" s="6" t="s">
        <v>72</v>
      </c>
      <c r="T120" s="6" t="s">
        <v>50</v>
      </c>
      <c r="U120" s="6">
        <v>4.63</v>
      </c>
      <c r="V120" s="6">
        <v>3</v>
      </c>
      <c r="W120" s="6">
        <v>0</v>
      </c>
      <c r="X120" s="7">
        <v>43556</v>
      </c>
      <c r="Y120" s="6">
        <v>0</v>
      </c>
      <c r="Z120" s="8">
        <v>2</v>
      </c>
      <c r="AA120" s="9">
        <f>DATEDIF(Table1[[#This Row],[DateofBirth]],"1-1-2020","y")</f>
        <v>38</v>
      </c>
      <c r="AB120" s="10" t="str" cm="1">
        <f t="array" ref="AB120">_xlfn.IFS(Table1[[#This Row],[age]]&lt; 20,"&lt;20",Table1[[#This Row],[age]]&lt; 30,"21-30",Table1[[#This Row],[age]]&lt; 40,"31-40", Table1[[#This Row],[age]]&lt; 50,"41-50",Table1[[#This Row],[age]]&lt; 60,"51-60",Table1[[#This Row],[age]]&lt;70,"60+")</f>
        <v>31-40</v>
      </c>
    </row>
    <row r="121" spans="1:28" ht="13.5" customHeight="1">
      <c r="A121" s="5" t="s">
        <v>253</v>
      </c>
      <c r="B121" s="6">
        <v>10059</v>
      </c>
      <c r="C121" s="6">
        <v>63813</v>
      </c>
      <c r="D121" s="6" t="s">
        <v>29</v>
      </c>
      <c r="E121" s="6" t="s">
        <v>30</v>
      </c>
      <c r="F121" s="6">
        <v>2176</v>
      </c>
      <c r="G121" s="7">
        <v>30457</v>
      </c>
      <c r="H121" s="6" t="s">
        <v>53</v>
      </c>
      <c r="I121" s="6" t="s">
        <v>59</v>
      </c>
      <c r="J121" s="6" t="s">
        <v>33</v>
      </c>
      <c r="K121" s="6" t="s">
        <v>34</v>
      </c>
      <c r="L121" s="6" t="s">
        <v>35</v>
      </c>
      <c r="M121" s="7">
        <v>40595</v>
      </c>
      <c r="N121" s="7">
        <v>41944</v>
      </c>
      <c r="O121" s="6" t="s">
        <v>185</v>
      </c>
      <c r="P121" s="6" t="s">
        <v>46</v>
      </c>
      <c r="Q121" s="6" t="s">
        <v>38</v>
      </c>
      <c r="R121" s="6" t="s">
        <v>91</v>
      </c>
      <c r="S121" s="6" t="s">
        <v>109</v>
      </c>
      <c r="T121" s="6" t="s">
        <v>50</v>
      </c>
      <c r="U121" s="6">
        <v>5</v>
      </c>
      <c r="V121" s="6">
        <v>5</v>
      </c>
      <c r="W121" s="6">
        <v>0</v>
      </c>
      <c r="X121" s="7">
        <v>41339</v>
      </c>
      <c r="Y121" s="6">
        <v>0</v>
      </c>
      <c r="Z121" s="8">
        <v>17</v>
      </c>
      <c r="AA121" s="9">
        <f>DATEDIF(Table1[[#This Row],[DateofBirth]],"1-1-2020","y")</f>
        <v>36</v>
      </c>
      <c r="AB121" s="10" t="str" cm="1">
        <f t="array" ref="AB121">_xlfn.IFS(Table1[[#This Row],[age]]&lt; 20,"&lt;20",Table1[[#This Row],[age]]&lt; 30,"21-30",Table1[[#This Row],[age]]&lt; 40,"31-40", Table1[[#This Row],[age]]&lt; 50,"41-50",Table1[[#This Row],[age]]&lt; 60,"51-60",Table1[[#This Row],[age]]&lt;70,"60+")</f>
        <v>31-40</v>
      </c>
    </row>
    <row r="122" spans="1:28" ht="13.5" customHeight="1">
      <c r="A122" s="5" t="s">
        <v>254</v>
      </c>
      <c r="B122" s="6">
        <v>10234</v>
      </c>
      <c r="C122" s="6">
        <v>99020</v>
      </c>
      <c r="D122" s="6" t="s">
        <v>188</v>
      </c>
      <c r="E122" s="6" t="s">
        <v>30</v>
      </c>
      <c r="F122" s="6">
        <v>2134</v>
      </c>
      <c r="G122" s="7">
        <v>32689</v>
      </c>
      <c r="H122" s="6" t="s">
        <v>31</v>
      </c>
      <c r="I122" s="6" t="s">
        <v>44</v>
      </c>
      <c r="J122" s="6" t="s">
        <v>33</v>
      </c>
      <c r="K122" s="6" t="s">
        <v>34</v>
      </c>
      <c r="L122" s="6" t="s">
        <v>74</v>
      </c>
      <c r="M122" s="7">
        <v>42845</v>
      </c>
      <c r="N122" s="7">
        <v>32874</v>
      </c>
      <c r="O122" s="6" t="s">
        <v>36</v>
      </c>
      <c r="P122" s="6" t="s">
        <v>37</v>
      </c>
      <c r="Q122" s="6" t="s">
        <v>47</v>
      </c>
      <c r="R122" s="6" t="s">
        <v>189</v>
      </c>
      <c r="S122" s="6" t="s">
        <v>49</v>
      </c>
      <c r="T122" s="6" t="s">
        <v>50</v>
      </c>
      <c r="U122" s="6">
        <v>4.2</v>
      </c>
      <c r="V122" s="6">
        <v>5</v>
      </c>
      <c r="W122" s="6">
        <v>5</v>
      </c>
      <c r="X122" s="7">
        <v>43493</v>
      </c>
      <c r="Y122" s="6">
        <v>0</v>
      </c>
      <c r="Z122" s="8">
        <v>8</v>
      </c>
      <c r="AA122" s="9">
        <f>DATEDIF(Table1[[#This Row],[DateofBirth]],"1-1-2020","y")</f>
        <v>30</v>
      </c>
      <c r="AB122" s="10" t="str" cm="1">
        <f t="array" ref="AB122">_xlfn.IFS(Table1[[#This Row],[age]]&lt; 20,"&lt;20",Table1[[#This Row],[age]]&lt; 30,"21-30",Table1[[#This Row],[age]]&lt; 40,"31-40", Table1[[#This Row],[age]]&lt; 50,"41-50",Table1[[#This Row],[age]]&lt; 60,"51-60",Table1[[#This Row],[age]]&lt;70,"60+")</f>
        <v>31-40</v>
      </c>
    </row>
    <row r="123" spans="1:28" ht="13.5" customHeight="1">
      <c r="A123" s="5" t="s">
        <v>255</v>
      </c>
      <c r="B123" s="6">
        <v>10109</v>
      </c>
      <c r="C123" s="6">
        <v>71707</v>
      </c>
      <c r="D123" s="6" t="s">
        <v>131</v>
      </c>
      <c r="E123" s="6" t="s">
        <v>256</v>
      </c>
      <c r="F123" s="6">
        <v>37129</v>
      </c>
      <c r="G123" s="7">
        <v>25448</v>
      </c>
      <c r="H123" s="6" t="s">
        <v>31</v>
      </c>
      <c r="I123" s="6" t="s">
        <v>32</v>
      </c>
      <c r="J123" s="6" t="s">
        <v>33</v>
      </c>
      <c r="K123" s="6" t="s">
        <v>34</v>
      </c>
      <c r="L123" s="6" t="s">
        <v>90</v>
      </c>
      <c r="M123" s="7">
        <v>41093</v>
      </c>
      <c r="N123" s="7">
        <v>41943</v>
      </c>
      <c r="O123" s="6" t="s">
        <v>154</v>
      </c>
      <c r="P123" s="6" t="s">
        <v>46</v>
      </c>
      <c r="Q123" s="6" t="s">
        <v>133</v>
      </c>
      <c r="R123" s="6" t="s">
        <v>134</v>
      </c>
      <c r="S123" s="6" t="s">
        <v>40</v>
      </c>
      <c r="T123" s="6" t="s">
        <v>50</v>
      </c>
      <c r="U123" s="6">
        <v>4.5</v>
      </c>
      <c r="V123" s="6">
        <v>5</v>
      </c>
      <c r="W123" s="6">
        <v>0</v>
      </c>
      <c r="X123" s="7">
        <v>41276</v>
      </c>
      <c r="Y123" s="6">
        <v>0</v>
      </c>
      <c r="Z123" s="8">
        <v>20</v>
      </c>
      <c r="AA123" s="9">
        <f>DATEDIF(Table1[[#This Row],[DateofBirth]],"1-1-2020","y")</f>
        <v>50</v>
      </c>
      <c r="AB123" s="10" t="str" cm="1">
        <f t="array" ref="AB123">_xlfn.IFS(Table1[[#This Row],[age]]&lt; 20,"&lt;20",Table1[[#This Row],[age]]&lt; 30,"21-30",Table1[[#This Row],[age]]&lt; 40,"31-40", Table1[[#This Row],[age]]&lt; 50,"41-50",Table1[[#This Row],[age]]&lt; 60,"51-60",Table1[[#This Row],[age]]&lt;70,"60+")</f>
        <v>51-60</v>
      </c>
    </row>
    <row r="124" spans="1:28" ht="13.5" customHeight="1">
      <c r="A124" s="5" t="s">
        <v>257</v>
      </c>
      <c r="B124" s="6">
        <v>10125</v>
      </c>
      <c r="C124" s="6">
        <v>54828</v>
      </c>
      <c r="D124" s="6" t="s">
        <v>29</v>
      </c>
      <c r="E124" s="6" t="s">
        <v>30</v>
      </c>
      <c r="F124" s="6">
        <v>2127</v>
      </c>
      <c r="G124" s="7">
        <v>28207</v>
      </c>
      <c r="H124" s="6" t="s">
        <v>53</v>
      </c>
      <c r="I124" s="6" t="s">
        <v>44</v>
      </c>
      <c r="J124" s="6" t="s">
        <v>33</v>
      </c>
      <c r="K124" s="6" t="s">
        <v>34</v>
      </c>
      <c r="L124" s="6" t="s">
        <v>35</v>
      </c>
      <c r="M124" s="7">
        <v>40875</v>
      </c>
      <c r="N124" s="7">
        <v>32874</v>
      </c>
      <c r="O124" s="6" t="s">
        <v>36</v>
      </c>
      <c r="P124" s="6" t="s">
        <v>37</v>
      </c>
      <c r="Q124" s="6" t="s">
        <v>38</v>
      </c>
      <c r="R124" s="6" t="s">
        <v>39</v>
      </c>
      <c r="S124" s="6" t="s">
        <v>62</v>
      </c>
      <c r="T124" s="6" t="s">
        <v>50</v>
      </c>
      <c r="U124" s="6">
        <v>4.2</v>
      </c>
      <c r="V124" s="6">
        <v>4</v>
      </c>
      <c r="W124" s="6">
        <v>0</v>
      </c>
      <c r="X124" s="7">
        <v>43518</v>
      </c>
      <c r="Y124" s="6">
        <v>0</v>
      </c>
      <c r="Z124" s="8">
        <v>13</v>
      </c>
      <c r="AA124" s="9">
        <f>DATEDIF(Table1[[#This Row],[DateofBirth]],"1-1-2020","y")</f>
        <v>42</v>
      </c>
      <c r="AB124" s="10" t="str" cm="1">
        <f t="array" ref="AB124">_xlfn.IFS(Table1[[#This Row],[age]]&lt; 20,"&lt;20",Table1[[#This Row],[age]]&lt; 30,"21-30",Table1[[#This Row],[age]]&lt; 40,"31-40", Table1[[#This Row],[age]]&lt; 50,"41-50",Table1[[#This Row],[age]]&lt; 60,"51-60",Table1[[#This Row],[age]]&lt;70,"60+")</f>
        <v>41-50</v>
      </c>
    </row>
    <row r="125" spans="1:28" ht="13.5" customHeight="1">
      <c r="A125" s="5" t="s">
        <v>258</v>
      </c>
      <c r="B125" s="6">
        <v>10074</v>
      </c>
      <c r="C125" s="6">
        <v>64246</v>
      </c>
      <c r="D125" s="6" t="s">
        <v>52</v>
      </c>
      <c r="E125" s="6" t="s">
        <v>30</v>
      </c>
      <c r="F125" s="6">
        <v>2155</v>
      </c>
      <c r="G125" s="7">
        <v>32424</v>
      </c>
      <c r="H125" s="6" t="s">
        <v>31</v>
      </c>
      <c r="I125" s="6" t="s">
        <v>32</v>
      </c>
      <c r="J125" s="6" t="s">
        <v>33</v>
      </c>
      <c r="K125" s="6" t="s">
        <v>81</v>
      </c>
      <c r="L125" s="6" t="s">
        <v>35</v>
      </c>
      <c r="M125" s="7">
        <v>41589</v>
      </c>
      <c r="N125" s="7">
        <v>32874</v>
      </c>
      <c r="O125" s="6" t="s">
        <v>36</v>
      </c>
      <c r="P125" s="6" t="s">
        <v>37</v>
      </c>
      <c r="Q125" s="6" t="s">
        <v>38</v>
      </c>
      <c r="R125" s="6" t="s">
        <v>91</v>
      </c>
      <c r="S125" s="6" t="s">
        <v>40</v>
      </c>
      <c r="T125" s="6" t="s">
        <v>50</v>
      </c>
      <c r="U125" s="6">
        <v>5</v>
      </c>
      <c r="V125" s="6">
        <v>3</v>
      </c>
      <c r="W125" s="6">
        <v>0</v>
      </c>
      <c r="X125" s="7">
        <v>43678</v>
      </c>
      <c r="Y125" s="6">
        <v>0</v>
      </c>
      <c r="Z125" s="8">
        <v>20</v>
      </c>
      <c r="AA125" s="9">
        <f>DATEDIF(Table1[[#This Row],[DateofBirth]],"1-1-2020","y")</f>
        <v>31</v>
      </c>
      <c r="AB125" s="10" t="str" cm="1">
        <f t="array" ref="AB125">_xlfn.IFS(Table1[[#This Row],[age]]&lt; 20,"&lt;20",Table1[[#This Row],[age]]&lt; 30,"21-30",Table1[[#This Row],[age]]&lt; 40,"31-40", Table1[[#This Row],[age]]&lt; 50,"41-50",Table1[[#This Row],[age]]&lt; 60,"51-60",Table1[[#This Row],[age]]&lt;70,"60+")</f>
        <v>31-40</v>
      </c>
    </row>
    <row r="126" spans="1:28" ht="13.5" customHeight="1">
      <c r="A126" s="5" t="s">
        <v>259</v>
      </c>
      <c r="B126" s="6">
        <v>10097</v>
      </c>
      <c r="C126" s="6">
        <v>52177</v>
      </c>
      <c r="D126" s="6" t="s">
        <v>29</v>
      </c>
      <c r="E126" s="6" t="s">
        <v>30</v>
      </c>
      <c r="F126" s="6">
        <v>2324</v>
      </c>
      <c r="G126" s="7">
        <v>19224</v>
      </c>
      <c r="H126" s="6" t="s">
        <v>53</v>
      </c>
      <c r="I126" s="6" t="s">
        <v>32</v>
      </c>
      <c r="J126" s="6" t="s">
        <v>33</v>
      </c>
      <c r="K126" s="6" t="s">
        <v>34</v>
      </c>
      <c r="L126" s="6" t="s">
        <v>35</v>
      </c>
      <c r="M126" s="7">
        <v>41153</v>
      </c>
      <c r="N126" s="7">
        <v>42353</v>
      </c>
      <c r="O126" s="6" t="s">
        <v>122</v>
      </c>
      <c r="P126" s="6" t="s">
        <v>46</v>
      </c>
      <c r="Q126" s="6" t="s">
        <v>38</v>
      </c>
      <c r="R126" s="6" t="s">
        <v>61</v>
      </c>
      <c r="S126" s="6" t="s">
        <v>109</v>
      </c>
      <c r="T126" s="6" t="s">
        <v>50</v>
      </c>
      <c r="U126" s="6">
        <v>4.6399999999999997</v>
      </c>
      <c r="V126" s="6">
        <v>4</v>
      </c>
      <c r="W126" s="6">
        <v>0</v>
      </c>
      <c r="X126" s="7">
        <v>42040</v>
      </c>
      <c r="Y126" s="6">
        <v>0</v>
      </c>
      <c r="Z126" s="8">
        <v>8</v>
      </c>
      <c r="AA126" s="9">
        <f>DATEDIF(Table1[[#This Row],[DateofBirth]],"1-1-2020","y")</f>
        <v>67</v>
      </c>
      <c r="AB126" s="10" t="str" cm="1">
        <f t="array" ref="AB126">_xlfn.IFS(Table1[[#This Row],[age]]&lt; 20,"&lt;20",Table1[[#This Row],[age]]&lt; 30,"21-30",Table1[[#This Row],[age]]&lt; 40,"31-40", Table1[[#This Row],[age]]&lt; 50,"41-50",Table1[[#This Row],[age]]&lt; 60,"51-60",Table1[[#This Row],[age]]&lt;70,"60+")</f>
        <v>60+</v>
      </c>
    </row>
    <row r="127" spans="1:28" ht="13.5" customHeight="1">
      <c r="A127" s="5" t="s">
        <v>260</v>
      </c>
      <c r="B127" s="6">
        <v>10007</v>
      </c>
      <c r="C127" s="6">
        <v>62065</v>
      </c>
      <c r="D127" s="6" t="s">
        <v>29</v>
      </c>
      <c r="E127" s="6" t="s">
        <v>30</v>
      </c>
      <c r="F127" s="6">
        <v>1886</v>
      </c>
      <c r="G127" s="7">
        <v>27065</v>
      </c>
      <c r="H127" s="6" t="s">
        <v>53</v>
      </c>
      <c r="I127" s="6" t="s">
        <v>44</v>
      </c>
      <c r="J127" s="6" t="s">
        <v>33</v>
      </c>
      <c r="K127" s="6" t="s">
        <v>34</v>
      </c>
      <c r="L127" s="6" t="s">
        <v>35</v>
      </c>
      <c r="M127" s="7">
        <v>41978</v>
      </c>
      <c r="N127" s="7">
        <v>32874</v>
      </c>
      <c r="O127" s="6" t="s">
        <v>36</v>
      </c>
      <c r="P127" s="6" t="s">
        <v>37</v>
      </c>
      <c r="Q127" s="6" t="s">
        <v>38</v>
      </c>
      <c r="R127" s="6" t="s">
        <v>64</v>
      </c>
      <c r="S127" s="6" t="s">
        <v>109</v>
      </c>
      <c r="T127" s="6" t="s">
        <v>41</v>
      </c>
      <c r="U127" s="6">
        <v>4.76</v>
      </c>
      <c r="V127" s="6">
        <v>4</v>
      </c>
      <c r="W127" s="6">
        <v>0</v>
      </c>
      <c r="X127" s="7">
        <v>43511</v>
      </c>
      <c r="Y127" s="6">
        <v>0</v>
      </c>
      <c r="Z127" s="8">
        <v>5</v>
      </c>
      <c r="AA127" s="9">
        <f>DATEDIF(Table1[[#This Row],[DateofBirth]],"1-1-2020","y")</f>
        <v>45</v>
      </c>
      <c r="AB127" s="10" t="str" cm="1">
        <f t="array" ref="AB127">_xlfn.IFS(Table1[[#This Row],[age]]&lt; 20,"&lt;20",Table1[[#This Row],[age]]&lt; 30,"21-30",Table1[[#This Row],[age]]&lt; 40,"31-40", Table1[[#This Row],[age]]&lt; 50,"41-50",Table1[[#This Row],[age]]&lt; 60,"51-60",Table1[[#This Row],[age]]&lt;70,"60+")</f>
        <v>41-50</v>
      </c>
    </row>
    <row r="128" spans="1:28" ht="13.5" customHeight="1">
      <c r="A128" s="5" t="s">
        <v>261</v>
      </c>
      <c r="B128" s="6">
        <v>10129</v>
      </c>
      <c r="C128" s="6">
        <v>46998</v>
      </c>
      <c r="D128" s="6" t="s">
        <v>29</v>
      </c>
      <c r="E128" s="6" t="s">
        <v>30</v>
      </c>
      <c r="F128" s="6">
        <v>2149</v>
      </c>
      <c r="G128" s="7">
        <v>30773</v>
      </c>
      <c r="H128" s="6" t="s">
        <v>31</v>
      </c>
      <c r="I128" s="6" t="s">
        <v>32</v>
      </c>
      <c r="J128" s="6" t="s">
        <v>33</v>
      </c>
      <c r="K128" s="6" t="s">
        <v>34</v>
      </c>
      <c r="L128" s="6" t="s">
        <v>35</v>
      </c>
      <c r="M128" s="7">
        <v>41134</v>
      </c>
      <c r="N128" s="7">
        <v>32874</v>
      </c>
      <c r="O128" s="6" t="s">
        <v>36</v>
      </c>
      <c r="P128" s="6" t="s">
        <v>37</v>
      </c>
      <c r="Q128" s="6" t="s">
        <v>38</v>
      </c>
      <c r="R128" s="6" t="s">
        <v>71</v>
      </c>
      <c r="S128" s="6" t="s">
        <v>62</v>
      </c>
      <c r="T128" s="6" t="s">
        <v>50</v>
      </c>
      <c r="U128" s="6">
        <v>4.17</v>
      </c>
      <c r="V128" s="6">
        <v>4</v>
      </c>
      <c r="W128" s="6">
        <v>0</v>
      </c>
      <c r="X128" s="7">
        <v>43771</v>
      </c>
      <c r="Y128" s="6">
        <v>0</v>
      </c>
      <c r="Z128" s="8">
        <v>1</v>
      </c>
      <c r="AA128" s="9">
        <f>DATEDIF(Table1[[#This Row],[DateofBirth]],"1-1-2020","y")</f>
        <v>35</v>
      </c>
      <c r="AB128" s="10" t="str" cm="1">
        <f t="array" ref="AB128">_xlfn.IFS(Table1[[#This Row],[age]]&lt; 20,"&lt;20",Table1[[#This Row],[age]]&lt; 30,"21-30",Table1[[#This Row],[age]]&lt; 40,"31-40", Table1[[#This Row],[age]]&lt; 50,"41-50",Table1[[#This Row],[age]]&lt; 60,"51-60",Table1[[#This Row],[age]]&lt;70,"60+")</f>
        <v>31-40</v>
      </c>
    </row>
    <row r="129" spans="1:28" ht="13.5" customHeight="1">
      <c r="A129" s="5" t="s">
        <v>262</v>
      </c>
      <c r="B129" s="6">
        <v>10075</v>
      </c>
      <c r="C129" s="6">
        <v>68099</v>
      </c>
      <c r="D129" s="6" t="s">
        <v>52</v>
      </c>
      <c r="E129" s="6" t="s">
        <v>30</v>
      </c>
      <c r="F129" s="6">
        <v>2021</v>
      </c>
      <c r="G129" s="7">
        <v>26538</v>
      </c>
      <c r="H129" s="6" t="s">
        <v>53</v>
      </c>
      <c r="I129" s="6" t="s">
        <v>32</v>
      </c>
      <c r="J129" s="6" t="s">
        <v>33</v>
      </c>
      <c r="K129" s="6" t="s">
        <v>34</v>
      </c>
      <c r="L129" s="6" t="s">
        <v>35</v>
      </c>
      <c r="M129" s="7">
        <v>40817</v>
      </c>
      <c r="N129" s="7">
        <v>41443</v>
      </c>
      <c r="O129" s="6" t="s">
        <v>54</v>
      </c>
      <c r="P129" s="6" t="s">
        <v>46</v>
      </c>
      <c r="Q129" s="6" t="s">
        <v>38</v>
      </c>
      <c r="R129" s="6" t="s">
        <v>91</v>
      </c>
      <c r="S129" s="6" t="s">
        <v>109</v>
      </c>
      <c r="T129" s="6" t="s">
        <v>50</v>
      </c>
      <c r="U129" s="6">
        <v>5</v>
      </c>
      <c r="V129" s="6">
        <v>3</v>
      </c>
      <c r="W129" s="6">
        <v>0</v>
      </c>
      <c r="X129" s="7">
        <v>41304</v>
      </c>
      <c r="Y129" s="6">
        <v>0</v>
      </c>
      <c r="Z129" s="8">
        <v>15</v>
      </c>
      <c r="AA129" s="9">
        <f>DATEDIF(Table1[[#This Row],[DateofBirth]],"1-1-2020","y")</f>
        <v>47</v>
      </c>
      <c r="AB129" s="10" t="str" cm="1">
        <f t="array" ref="AB129">_xlfn.IFS(Table1[[#This Row],[age]]&lt; 20,"&lt;20",Table1[[#This Row],[age]]&lt; 30,"21-30",Table1[[#This Row],[age]]&lt; 40,"31-40", Table1[[#This Row],[age]]&lt; 50,"41-50",Table1[[#This Row],[age]]&lt; 60,"51-60",Table1[[#This Row],[age]]&lt;70,"60+")</f>
        <v>41-50</v>
      </c>
    </row>
    <row r="130" spans="1:28" ht="13.5" customHeight="1">
      <c r="A130" s="5" t="s">
        <v>263</v>
      </c>
      <c r="B130" s="6">
        <v>10167</v>
      </c>
      <c r="C130" s="6">
        <v>70545</v>
      </c>
      <c r="D130" s="6" t="s">
        <v>131</v>
      </c>
      <c r="E130" s="6" t="s">
        <v>264</v>
      </c>
      <c r="F130" s="6">
        <v>3062</v>
      </c>
      <c r="G130" s="7">
        <v>32400</v>
      </c>
      <c r="H130" s="6" t="s">
        <v>31</v>
      </c>
      <c r="I130" s="6" t="s">
        <v>44</v>
      </c>
      <c r="J130" s="6" t="s">
        <v>33</v>
      </c>
      <c r="K130" s="6" t="s">
        <v>34</v>
      </c>
      <c r="L130" s="6" t="s">
        <v>250</v>
      </c>
      <c r="M130" s="7">
        <v>41869</v>
      </c>
      <c r="N130" s="7">
        <v>32874</v>
      </c>
      <c r="O130" s="6" t="s">
        <v>36</v>
      </c>
      <c r="P130" s="6" t="s">
        <v>37</v>
      </c>
      <c r="Q130" s="6" t="s">
        <v>133</v>
      </c>
      <c r="R130" s="6" t="s">
        <v>134</v>
      </c>
      <c r="S130" s="6" t="s">
        <v>49</v>
      </c>
      <c r="T130" s="6" t="s">
        <v>50</v>
      </c>
      <c r="U130" s="6">
        <v>3.6</v>
      </c>
      <c r="V130" s="6">
        <v>5</v>
      </c>
      <c r="W130" s="6">
        <v>0</v>
      </c>
      <c r="X130" s="7">
        <v>43495</v>
      </c>
      <c r="Y130" s="6">
        <v>0</v>
      </c>
      <c r="Z130" s="8">
        <v>9</v>
      </c>
      <c r="AA130" s="9">
        <f>DATEDIF(Table1[[#This Row],[DateofBirth]],"1-1-2020","y")</f>
        <v>31</v>
      </c>
      <c r="AB130" s="10" t="str" cm="1">
        <f t="array" ref="AB130">_xlfn.IFS(Table1[[#This Row],[age]]&lt; 20,"&lt;20",Table1[[#This Row],[age]]&lt; 30,"21-30",Table1[[#This Row],[age]]&lt; 40,"31-40", Table1[[#This Row],[age]]&lt; 50,"41-50",Table1[[#This Row],[age]]&lt; 60,"51-60",Table1[[#This Row],[age]]&lt;70,"60+")</f>
        <v>31-40</v>
      </c>
    </row>
    <row r="131" spans="1:28" ht="13.5" customHeight="1">
      <c r="A131" s="5" t="s">
        <v>265</v>
      </c>
      <c r="B131" s="6">
        <v>10195</v>
      </c>
      <c r="C131" s="6">
        <v>63478</v>
      </c>
      <c r="D131" s="6" t="s">
        <v>52</v>
      </c>
      <c r="E131" s="6" t="s">
        <v>30</v>
      </c>
      <c r="F131" s="6">
        <v>2445</v>
      </c>
      <c r="G131" s="7">
        <v>30728</v>
      </c>
      <c r="H131" s="6" t="s">
        <v>53</v>
      </c>
      <c r="I131" s="6" t="s">
        <v>44</v>
      </c>
      <c r="J131" s="6" t="s">
        <v>156</v>
      </c>
      <c r="K131" s="6" t="s">
        <v>34</v>
      </c>
      <c r="L131" s="6" t="s">
        <v>35</v>
      </c>
      <c r="M131" s="7">
        <v>40770</v>
      </c>
      <c r="N131" s="7">
        <v>41094</v>
      </c>
      <c r="O131" s="6" t="s">
        <v>154</v>
      </c>
      <c r="P131" s="6" t="s">
        <v>46</v>
      </c>
      <c r="Q131" s="6" t="s">
        <v>38</v>
      </c>
      <c r="R131" s="6" t="s">
        <v>39</v>
      </c>
      <c r="S131" s="6" t="s">
        <v>49</v>
      </c>
      <c r="T131" s="6" t="s">
        <v>50</v>
      </c>
      <c r="U131" s="6">
        <v>3.03</v>
      </c>
      <c r="V131" s="6">
        <v>5</v>
      </c>
      <c r="W131" s="6">
        <v>0</v>
      </c>
      <c r="X131" s="7">
        <v>41032</v>
      </c>
      <c r="Y131" s="6">
        <v>0</v>
      </c>
      <c r="Z131" s="8">
        <v>16</v>
      </c>
      <c r="AA131" s="9">
        <f>DATEDIF(Table1[[#This Row],[DateofBirth]],"1-1-2020","y")</f>
        <v>35</v>
      </c>
      <c r="AB131" s="10" t="str" cm="1">
        <f t="array" ref="AB131">_xlfn.IFS(Table1[[#This Row],[age]]&lt; 20,"&lt;20",Table1[[#This Row],[age]]&lt; 30,"21-30",Table1[[#This Row],[age]]&lt; 40,"31-40", Table1[[#This Row],[age]]&lt; 50,"41-50",Table1[[#This Row],[age]]&lt; 60,"51-60",Table1[[#This Row],[age]]&lt;70,"60+")</f>
        <v>31-40</v>
      </c>
    </row>
    <row r="132" spans="1:28" ht="13.5" customHeight="1">
      <c r="A132" s="5" t="s">
        <v>266</v>
      </c>
      <c r="B132" s="6">
        <v>10112</v>
      </c>
      <c r="C132" s="6">
        <v>97999</v>
      </c>
      <c r="D132" s="6" t="s">
        <v>101</v>
      </c>
      <c r="E132" s="6" t="s">
        <v>30</v>
      </c>
      <c r="F132" s="6">
        <v>2493</v>
      </c>
      <c r="G132" s="7">
        <v>30733</v>
      </c>
      <c r="H132" s="6" t="s">
        <v>53</v>
      </c>
      <c r="I132" s="6" t="s">
        <v>32</v>
      </c>
      <c r="J132" s="6" t="s">
        <v>33</v>
      </c>
      <c r="K132" s="6" t="s">
        <v>34</v>
      </c>
      <c r="L132" s="6" t="s">
        <v>35</v>
      </c>
      <c r="M132" s="7">
        <v>42093</v>
      </c>
      <c r="N132" s="7">
        <v>32874</v>
      </c>
      <c r="O132" s="6" t="s">
        <v>36</v>
      </c>
      <c r="P132" s="6" t="s">
        <v>37</v>
      </c>
      <c r="Q132" s="6" t="s">
        <v>47</v>
      </c>
      <c r="R132" s="6" t="s">
        <v>48</v>
      </c>
      <c r="S132" s="6" t="s">
        <v>49</v>
      </c>
      <c r="T132" s="6" t="s">
        <v>50</v>
      </c>
      <c r="U132" s="6">
        <v>4.4800000000000004</v>
      </c>
      <c r="V132" s="6">
        <v>5</v>
      </c>
      <c r="W132" s="6">
        <v>6</v>
      </c>
      <c r="X132" s="7">
        <v>43525</v>
      </c>
      <c r="Y132" s="6">
        <v>0</v>
      </c>
      <c r="Z132" s="8">
        <v>4</v>
      </c>
      <c r="AA132" s="9">
        <f>DATEDIF(Table1[[#This Row],[DateofBirth]],"1-1-2020","y")</f>
        <v>35</v>
      </c>
      <c r="AB132" s="10" t="str" cm="1">
        <f t="array" ref="AB132">_xlfn.IFS(Table1[[#This Row],[age]]&lt; 20,"&lt;20",Table1[[#This Row],[age]]&lt; 30,"21-30",Table1[[#This Row],[age]]&lt; 40,"31-40", Table1[[#This Row],[age]]&lt; 50,"41-50",Table1[[#This Row],[age]]&lt; 60,"51-60",Table1[[#This Row],[age]]&lt;70,"60+")</f>
        <v>31-40</v>
      </c>
    </row>
    <row r="133" spans="1:28" ht="13.5" customHeight="1">
      <c r="A133" s="5" t="s">
        <v>267</v>
      </c>
      <c r="B133" s="6">
        <v>10272</v>
      </c>
      <c r="C133" s="6">
        <v>180000</v>
      </c>
      <c r="D133" s="6" t="s">
        <v>268</v>
      </c>
      <c r="E133" s="6" t="s">
        <v>269</v>
      </c>
      <c r="F133" s="6">
        <v>2908</v>
      </c>
      <c r="G133" s="7">
        <v>24183</v>
      </c>
      <c r="H133" s="6" t="s">
        <v>53</v>
      </c>
      <c r="I133" s="6" t="s">
        <v>44</v>
      </c>
      <c r="J133" s="6" t="s">
        <v>33</v>
      </c>
      <c r="K133" s="6" t="s">
        <v>34</v>
      </c>
      <c r="L133" s="6" t="s">
        <v>35</v>
      </c>
      <c r="M133" s="7">
        <v>41764</v>
      </c>
      <c r="N133" s="7">
        <v>32874</v>
      </c>
      <c r="O133" s="6" t="s">
        <v>36</v>
      </c>
      <c r="P133" s="6" t="s">
        <v>37</v>
      </c>
      <c r="Q133" s="6" t="s">
        <v>133</v>
      </c>
      <c r="R133" s="6" t="s">
        <v>123</v>
      </c>
      <c r="S133" s="6" t="s">
        <v>40</v>
      </c>
      <c r="T133" s="6" t="s">
        <v>50</v>
      </c>
      <c r="U133" s="6">
        <v>4.5</v>
      </c>
      <c r="V133" s="6">
        <v>4</v>
      </c>
      <c r="W133" s="6">
        <v>0</v>
      </c>
      <c r="X133" s="7">
        <v>43486</v>
      </c>
      <c r="Y133" s="6">
        <v>0</v>
      </c>
      <c r="Z133" s="8">
        <v>19</v>
      </c>
      <c r="AA133" s="9">
        <f>DATEDIF(Table1[[#This Row],[DateofBirth]],"1-1-2020","y")</f>
        <v>53</v>
      </c>
      <c r="AB133" s="10" t="str" cm="1">
        <f t="array" ref="AB133">_xlfn.IFS(Table1[[#This Row],[age]]&lt; 20,"&lt;20",Table1[[#This Row],[age]]&lt; 30,"21-30",Table1[[#This Row],[age]]&lt; 40,"31-40", Table1[[#This Row],[age]]&lt; 50,"41-50",Table1[[#This Row],[age]]&lt; 60,"51-60",Table1[[#This Row],[age]]&lt;70,"60+")</f>
        <v>51-60</v>
      </c>
    </row>
    <row r="134" spans="1:28" ht="13.5" customHeight="1">
      <c r="A134" s="5" t="s">
        <v>270</v>
      </c>
      <c r="B134" s="6">
        <v>10182</v>
      </c>
      <c r="C134" s="6">
        <v>49920</v>
      </c>
      <c r="D134" s="6" t="s">
        <v>271</v>
      </c>
      <c r="E134" s="6" t="s">
        <v>30</v>
      </c>
      <c r="F134" s="6">
        <v>2170</v>
      </c>
      <c r="G134" s="7">
        <v>31306</v>
      </c>
      <c r="H134" s="6" t="s">
        <v>53</v>
      </c>
      <c r="I134" s="6" t="s">
        <v>44</v>
      </c>
      <c r="J134" s="6" t="s">
        <v>33</v>
      </c>
      <c r="K134" s="6" t="s">
        <v>34</v>
      </c>
      <c r="L134" s="6" t="s">
        <v>74</v>
      </c>
      <c r="M134" s="7">
        <v>42051</v>
      </c>
      <c r="N134" s="7">
        <v>42109</v>
      </c>
      <c r="O134" s="6" t="s">
        <v>210</v>
      </c>
      <c r="P134" s="6" t="s">
        <v>96</v>
      </c>
      <c r="Q134" s="6" t="s">
        <v>118</v>
      </c>
      <c r="R134" s="6" t="s">
        <v>119</v>
      </c>
      <c r="S134" s="6" t="s">
        <v>49</v>
      </c>
      <c r="T134" s="6" t="s">
        <v>50</v>
      </c>
      <c r="U134" s="6">
        <v>3.24</v>
      </c>
      <c r="V134" s="6">
        <v>3</v>
      </c>
      <c r="W134" s="6">
        <v>4</v>
      </c>
      <c r="X134" s="7">
        <v>42109</v>
      </c>
      <c r="Y134" s="6">
        <v>0</v>
      </c>
      <c r="Z134" s="8">
        <v>6</v>
      </c>
      <c r="AA134" s="9">
        <f>DATEDIF(Table1[[#This Row],[DateofBirth]],"1-1-2020","y")</f>
        <v>34</v>
      </c>
      <c r="AB134" s="10" t="str" cm="1">
        <f t="array" ref="AB134">_xlfn.IFS(Table1[[#This Row],[age]]&lt; 20,"&lt;20",Table1[[#This Row],[age]]&lt; 30,"21-30",Table1[[#This Row],[age]]&lt; 40,"31-40", Table1[[#This Row],[age]]&lt; 50,"41-50",Table1[[#This Row],[age]]&lt; 60,"51-60",Table1[[#This Row],[age]]&lt;70,"60+")</f>
        <v>31-40</v>
      </c>
    </row>
    <row r="135" spans="1:28" ht="13.5" customHeight="1">
      <c r="A135" s="5" t="s">
        <v>272</v>
      </c>
      <c r="B135" s="6">
        <v>10248</v>
      </c>
      <c r="C135" s="6">
        <v>55425</v>
      </c>
      <c r="D135" s="6" t="s">
        <v>29</v>
      </c>
      <c r="E135" s="6" t="s">
        <v>30</v>
      </c>
      <c r="F135" s="6">
        <v>2176</v>
      </c>
      <c r="G135" s="7">
        <v>31691</v>
      </c>
      <c r="H135" s="6" t="s">
        <v>53</v>
      </c>
      <c r="I135" s="6" t="s">
        <v>32</v>
      </c>
      <c r="J135" s="6" t="s">
        <v>33</v>
      </c>
      <c r="K135" s="6" t="s">
        <v>34</v>
      </c>
      <c r="L135" s="6" t="s">
        <v>35</v>
      </c>
      <c r="M135" s="7">
        <v>40959</v>
      </c>
      <c r="N135" s="7">
        <v>32874</v>
      </c>
      <c r="O135" s="6" t="s">
        <v>36</v>
      </c>
      <c r="P135" s="6" t="s">
        <v>37</v>
      </c>
      <c r="Q135" s="6" t="s">
        <v>38</v>
      </c>
      <c r="R135" s="6" t="s">
        <v>71</v>
      </c>
      <c r="S135" s="6" t="s">
        <v>40</v>
      </c>
      <c r="T135" s="6" t="s">
        <v>50</v>
      </c>
      <c r="U135" s="6">
        <v>4.8</v>
      </c>
      <c r="V135" s="6">
        <v>4</v>
      </c>
      <c r="W135" s="6">
        <v>0</v>
      </c>
      <c r="X135" s="7">
        <v>43647</v>
      </c>
      <c r="Y135" s="6">
        <v>0</v>
      </c>
      <c r="Z135" s="8">
        <v>4</v>
      </c>
      <c r="AA135" s="9">
        <f>DATEDIF(Table1[[#This Row],[DateofBirth]],"1-1-2020","y")</f>
        <v>33</v>
      </c>
      <c r="AB135" s="10" t="str" cm="1">
        <f t="array" ref="AB135">_xlfn.IFS(Table1[[#This Row],[age]]&lt; 20,"&lt;20",Table1[[#This Row],[age]]&lt; 30,"21-30",Table1[[#This Row],[age]]&lt; 40,"31-40", Table1[[#This Row],[age]]&lt; 50,"41-50",Table1[[#This Row],[age]]&lt; 60,"51-60",Table1[[#This Row],[age]]&lt;70,"60+")</f>
        <v>31-40</v>
      </c>
    </row>
    <row r="136" spans="1:28" ht="13.5" customHeight="1">
      <c r="A136" s="5" t="s">
        <v>273</v>
      </c>
      <c r="B136" s="6">
        <v>10201</v>
      </c>
      <c r="C136" s="6">
        <v>69340</v>
      </c>
      <c r="D136" s="6" t="s">
        <v>52</v>
      </c>
      <c r="E136" s="6" t="s">
        <v>30</v>
      </c>
      <c r="F136" s="6">
        <v>2021</v>
      </c>
      <c r="G136" s="7">
        <v>30989</v>
      </c>
      <c r="H136" s="6" t="s">
        <v>53</v>
      </c>
      <c r="I136" s="6" t="s">
        <v>32</v>
      </c>
      <c r="J136" s="6" t="s">
        <v>33</v>
      </c>
      <c r="K136" s="6" t="s">
        <v>34</v>
      </c>
      <c r="L136" s="6" t="s">
        <v>35</v>
      </c>
      <c r="M136" s="7">
        <v>42527</v>
      </c>
      <c r="N136" s="7">
        <v>32874</v>
      </c>
      <c r="O136" s="6" t="s">
        <v>36</v>
      </c>
      <c r="P136" s="6" t="s">
        <v>37</v>
      </c>
      <c r="Q136" s="6" t="s">
        <v>38</v>
      </c>
      <c r="R136" s="6" t="s">
        <v>57</v>
      </c>
      <c r="S136" s="6" t="s">
        <v>40</v>
      </c>
      <c r="T136" s="6" t="s">
        <v>50</v>
      </c>
      <c r="U136" s="6">
        <v>3</v>
      </c>
      <c r="V136" s="6">
        <v>5</v>
      </c>
      <c r="W136" s="6">
        <v>0</v>
      </c>
      <c r="X136" s="7">
        <v>43483</v>
      </c>
      <c r="Y136" s="6">
        <v>0</v>
      </c>
      <c r="Z136" s="8">
        <v>4</v>
      </c>
      <c r="AA136" s="9">
        <f>DATEDIF(Table1[[#This Row],[DateofBirth]],"1-1-2020","y")</f>
        <v>35</v>
      </c>
      <c r="AB136" s="10" t="str" cm="1">
        <f t="array" ref="AB136">_xlfn.IFS(Table1[[#This Row],[age]]&lt; 20,"&lt;20",Table1[[#This Row],[age]]&lt; 30,"21-30",Table1[[#This Row],[age]]&lt; 40,"31-40", Table1[[#This Row],[age]]&lt; 50,"41-50",Table1[[#This Row],[age]]&lt; 60,"51-60",Table1[[#This Row],[age]]&lt;70,"60+")</f>
        <v>31-40</v>
      </c>
    </row>
    <row r="137" spans="1:28" ht="13.5" customHeight="1">
      <c r="A137" s="5" t="s">
        <v>274</v>
      </c>
      <c r="B137" s="6">
        <v>10214</v>
      </c>
      <c r="C137" s="6">
        <v>64995</v>
      </c>
      <c r="D137" s="6" t="s">
        <v>52</v>
      </c>
      <c r="E137" s="6" t="s">
        <v>30</v>
      </c>
      <c r="F137" s="6">
        <v>2351</v>
      </c>
      <c r="G137" s="7">
        <v>33790</v>
      </c>
      <c r="H137" s="6" t="s">
        <v>53</v>
      </c>
      <c r="I137" s="6" t="s">
        <v>129</v>
      </c>
      <c r="J137" s="6" t="s">
        <v>33</v>
      </c>
      <c r="K137" s="6" t="s">
        <v>34</v>
      </c>
      <c r="L137" s="6" t="s">
        <v>35</v>
      </c>
      <c r="M137" s="7">
        <v>42130</v>
      </c>
      <c r="N137" s="7">
        <v>32874</v>
      </c>
      <c r="O137" s="6" t="s">
        <v>36</v>
      </c>
      <c r="P137" s="6" t="s">
        <v>37</v>
      </c>
      <c r="Q137" s="6" t="s">
        <v>38</v>
      </c>
      <c r="R137" s="6" t="s">
        <v>61</v>
      </c>
      <c r="S137" s="6" t="s">
        <v>49</v>
      </c>
      <c r="T137" s="6" t="s">
        <v>50</v>
      </c>
      <c r="U137" s="6">
        <v>4.5</v>
      </c>
      <c r="V137" s="6">
        <v>3</v>
      </c>
      <c r="W137" s="6">
        <v>0</v>
      </c>
      <c r="X137" s="7">
        <v>43510</v>
      </c>
      <c r="Y137" s="6">
        <v>0</v>
      </c>
      <c r="Z137" s="8">
        <v>6</v>
      </c>
      <c r="AA137" s="9">
        <f>DATEDIF(Table1[[#This Row],[DateofBirth]],"1-1-2020","y")</f>
        <v>27</v>
      </c>
      <c r="AB137" s="10" t="str" cm="1">
        <f t="array" ref="AB137">_xlfn.IFS(Table1[[#This Row],[age]]&lt; 20,"&lt;20",Table1[[#This Row],[age]]&lt; 30,"21-30",Table1[[#This Row],[age]]&lt; 40,"31-40", Table1[[#This Row],[age]]&lt; 50,"41-50",Table1[[#This Row],[age]]&lt; 60,"51-60",Table1[[#This Row],[age]]&lt;70,"60+")</f>
        <v>21-30</v>
      </c>
    </row>
    <row r="138" spans="1:28" ht="13.5" customHeight="1">
      <c r="A138" s="5" t="s">
        <v>275</v>
      </c>
      <c r="B138" s="6">
        <v>10160</v>
      </c>
      <c r="C138" s="6">
        <v>68182</v>
      </c>
      <c r="D138" s="6" t="s">
        <v>52</v>
      </c>
      <c r="E138" s="6" t="s">
        <v>30</v>
      </c>
      <c r="F138" s="6">
        <v>1742</v>
      </c>
      <c r="G138" s="7">
        <v>28025</v>
      </c>
      <c r="H138" s="6" t="s">
        <v>53</v>
      </c>
      <c r="I138" s="6" t="s">
        <v>59</v>
      </c>
      <c r="J138" s="6" t="s">
        <v>33</v>
      </c>
      <c r="K138" s="6" t="s">
        <v>34</v>
      </c>
      <c r="L138" s="6" t="s">
        <v>35</v>
      </c>
      <c r="M138" s="7">
        <v>40595</v>
      </c>
      <c r="N138" s="7">
        <v>41278</v>
      </c>
      <c r="O138" s="6" t="s">
        <v>85</v>
      </c>
      <c r="P138" s="6" t="s">
        <v>46</v>
      </c>
      <c r="Q138" s="6" t="s">
        <v>38</v>
      </c>
      <c r="R138" s="6" t="s">
        <v>64</v>
      </c>
      <c r="S138" s="6" t="s">
        <v>62</v>
      </c>
      <c r="T138" s="6" t="s">
        <v>50</v>
      </c>
      <c r="U138" s="6">
        <v>3.72</v>
      </c>
      <c r="V138" s="6">
        <v>3</v>
      </c>
      <c r="W138" s="6">
        <v>0</v>
      </c>
      <c r="X138" s="7">
        <v>41276</v>
      </c>
      <c r="Y138" s="6">
        <v>0</v>
      </c>
      <c r="Z138" s="8">
        <v>18</v>
      </c>
      <c r="AA138" s="9">
        <f>DATEDIF(Table1[[#This Row],[DateofBirth]],"1-1-2020","y")</f>
        <v>43</v>
      </c>
      <c r="AB138" s="10" t="str" cm="1">
        <f t="array" ref="AB138">_xlfn.IFS(Table1[[#This Row],[age]]&lt; 20,"&lt;20",Table1[[#This Row],[age]]&lt; 30,"21-30",Table1[[#This Row],[age]]&lt; 40,"31-40", Table1[[#This Row],[age]]&lt; 50,"41-50",Table1[[#This Row],[age]]&lt; 60,"51-60",Table1[[#This Row],[age]]&lt;70,"60+")</f>
        <v>41-50</v>
      </c>
    </row>
    <row r="139" spans="1:28" ht="13.5" customHeight="1">
      <c r="A139" s="5" t="s">
        <v>276</v>
      </c>
      <c r="B139" s="6">
        <v>10289</v>
      </c>
      <c r="C139" s="6">
        <v>83082</v>
      </c>
      <c r="D139" s="6" t="s">
        <v>121</v>
      </c>
      <c r="E139" s="6" t="s">
        <v>30</v>
      </c>
      <c r="F139" s="6">
        <v>2128</v>
      </c>
      <c r="G139" s="7">
        <v>28079</v>
      </c>
      <c r="H139" s="6" t="s">
        <v>31</v>
      </c>
      <c r="I139" s="6" t="s">
        <v>44</v>
      </c>
      <c r="J139" s="6" t="s">
        <v>33</v>
      </c>
      <c r="K139" s="6" t="s">
        <v>34</v>
      </c>
      <c r="L139" s="6" t="s">
        <v>104</v>
      </c>
      <c r="M139" s="7">
        <v>40595</v>
      </c>
      <c r="N139" s="7">
        <v>41176</v>
      </c>
      <c r="O139" s="6" t="s">
        <v>85</v>
      </c>
      <c r="P139" s="6" t="s">
        <v>46</v>
      </c>
      <c r="Q139" s="6" t="s">
        <v>38</v>
      </c>
      <c r="R139" s="6" t="s">
        <v>123</v>
      </c>
      <c r="S139" s="6" t="s">
        <v>49</v>
      </c>
      <c r="T139" s="6" t="s">
        <v>110</v>
      </c>
      <c r="U139" s="6">
        <v>2.34</v>
      </c>
      <c r="V139" s="6">
        <v>2</v>
      </c>
      <c r="W139" s="6">
        <v>0</v>
      </c>
      <c r="X139" s="7">
        <v>41247</v>
      </c>
      <c r="Y139" s="6">
        <v>3</v>
      </c>
      <c r="Z139" s="8">
        <v>4</v>
      </c>
      <c r="AA139" s="9">
        <f>DATEDIF(Table1[[#This Row],[DateofBirth]],"1-1-2020","y")</f>
        <v>43</v>
      </c>
      <c r="AB139" s="10" t="str" cm="1">
        <f t="array" ref="AB139">_xlfn.IFS(Table1[[#This Row],[age]]&lt; 20,"&lt;20",Table1[[#This Row],[age]]&lt; 30,"21-30",Table1[[#This Row],[age]]&lt; 40,"31-40", Table1[[#This Row],[age]]&lt; 50,"41-50",Table1[[#This Row],[age]]&lt; 60,"51-60",Table1[[#This Row],[age]]&lt;70,"60+")</f>
        <v>41-50</v>
      </c>
    </row>
    <row r="140" spans="1:28" ht="13.5" customHeight="1">
      <c r="A140" s="5" t="s">
        <v>277</v>
      </c>
      <c r="B140" s="6">
        <v>10139</v>
      </c>
      <c r="C140" s="6">
        <v>51908</v>
      </c>
      <c r="D140" s="6" t="s">
        <v>29</v>
      </c>
      <c r="E140" s="6" t="s">
        <v>30</v>
      </c>
      <c r="F140" s="6">
        <v>1775</v>
      </c>
      <c r="G140" s="7">
        <v>33266</v>
      </c>
      <c r="H140" s="6" t="s">
        <v>53</v>
      </c>
      <c r="I140" s="6" t="s">
        <v>32</v>
      </c>
      <c r="J140" s="6" t="s">
        <v>33</v>
      </c>
      <c r="K140" s="6" t="s">
        <v>34</v>
      </c>
      <c r="L140" s="6" t="s">
        <v>35</v>
      </c>
      <c r="M140" s="7">
        <v>41505</v>
      </c>
      <c r="N140" s="7">
        <v>32874</v>
      </c>
      <c r="O140" s="6" t="s">
        <v>36</v>
      </c>
      <c r="P140" s="6" t="s">
        <v>37</v>
      </c>
      <c r="Q140" s="6" t="s">
        <v>38</v>
      </c>
      <c r="R140" s="6" t="s">
        <v>75</v>
      </c>
      <c r="S140" s="6" t="s">
        <v>49</v>
      </c>
      <c r="T140" s="6" t="s">
        <v>50</v>
      </c>
      <c r="U140" s="6">
        <v>3.99</v>
      </c>
      <c r="V140" s="6">
        <v>3</v>
      </c>
      <c r="W140" s="6">
        <v>0</v>
      </c>
      <c r="X140" s="7">
        <v>43479</v>
      </c>
      <c r="Y140" s="6">
        <v>0</v>
      </c>
      <c r="Z140" s="8">
        <v>14</v>
      </c>
      <c r="AA140" s="9">
        <f>DATEDIF(Table1[[#This Row],[DateofBirth]],"1-1-2020","y")</f>
        <v>28</v>
      </c>
      <c r="AB140" s="10" t="str" cm="1">
        <f t="array" ref="AB140">_xlfn.IFS(Table1[[#This Row],[age]]&lt; 20,"&lt;20",Table1[[#This Row],[age]]&lt; 30,"21-30",Table1[[#This Row],[age]]&lt; 40,"31-40", Table1[[#This Row],[age]]&lt; 50,"41-50",Table1[[#This Row],[age]]&lt; 60,"51-60",Table1[[#This Row],[age]]&lt;70,"60+")</f>
        <v>21-30</v>
      </c>
    </row>
    <row r="141" spans="1:28" ht="13.5" customHeight="1">
      <c r="A141" s="5" t="s">
        <v>278</v>
      </c>
      <c r="B141" s="6">
        <v>10227</v>
      </c>
      <c r="C141" s="6">
        <v>61242</v>
      </c>
      <c r="D141" s="6" t="s">
        <v>29</v>
      </c>
      <c r="E141" s="6" t="s">
        <v>30</v>
      </c>
      <c r="F141" s="6">
        <v>2081</v>
      </c>
      <c r="G141" s="7">
        <v>26612</v>
      </c>
      <c r="H141" s="6" t="s">
        <v>53</v>
      </c>
      <c r="I141" s="6" t="s">
        <v>32</v>
      </c>
      <c r="J141" s="6" t="s">
        <v>33</v>
      </c>
      <c r="K141" s="6" t="s">
        <v>34</v>
      </c>
      <c r="L141" s="6" t="s">
        <v>74</v>
      </c>
      <c r="M141" s="7">
        <v>41040</v>
      </c>
      <c r="N141" s="7">
        <v>32874</v>
      </c>
      <c r="O141" s="6" t="s">
        <v>36</v>
      </c>
      <c r="P141" s="6" t="s">
        <v>37</v>
      </c>
      <c r="Q141" s="6" t="s">
        <v>38</v>
      </c>
      <c r="R141" s="6" t="s">
        <v>83</v>
      </c>
      <c r="S141" s="6" t="s">
        <v>40</v>
      </c>
      <c r="T141" s="6" t="s">
        <v>50</v>
      </c>
      <c r="U141" s="6">
        <v>4.0999999999999996</v>
      </c>
      <c r="V141" s="6">
        <v>3</v>
      </c>
      <c r="W141" s="6">
        <v>0</v>
      </c>
      <c r="X141" s="7">
        <v>43482</v>
      </c>
      <c r="Y141" s="6">
        <v>0</v>
      </c>
      <c r="Z141" s="8">
        <v>7</v>
      </c>
      <c r="AA141" s="9">
        <f>DATEDIF(Table1[[#This Row],[DateofBirth]],"1-1-2020","y")</f>
        <v>47</v>
      </c>
      <c r="AB141" s="10" t="str" cm="1">
        <f t="array" ref="AB141">_xlfn.IFS(Table1[[#This Row],[age]]&lt; 20,"&lt;20",Table1[[#This Row],[age]]&lt; 30,"21-30",Table1[[#This Row],[age]]&lt; 40,"31-40", Table1[[#This Row],[age]]&lt; 50,"41-50",Table1[[#This Row],[age]]&lt; 60,"51-60",Table1[[#This Row],[age]]&lt;70,"60+")</f>
        <v>41-50</v>
      </c>
    </row>
    <row r="142" spans="1:28" ht="13.5" customHeight="1">
      <c r="A142" s="5" t="s">
        <v>279</v>
      </c>
      <c r="B142" s="6">
        <v>10236</v>
      </c>
      <c r="C142" s="6">
        <v>45069</v>
      </c>
      <c r="D142" s="6" t="s">
        <v>29</v>
      </c>
      <c r="E142" s="6" t="s">
        <v>30</v>
      </c>
      <c r="F142" s="6">
        <v>1778</v>
      </c>
      <c r="G142" s="7">
        <v>24188</v>
      </c>
      <c r="H142" s="6" t="s">
        <v>53</v>
      </c>
      <c r="I142" s="6" t="s">
        <v>59</v>
      </c>
      <c r="J142" s="6" t="s">
        <v>33</v>
      </c>
      <c r="K142" s="6" t="s">
        <v>34</v>
      </c>
      <c r="L142" s="6" t="s">
        <v>35</v>
      </c>
      <c r="M142" s="7">
        <v>41547</v>
      </c>
      <c r="N142" s="7">
        <v>32874</v>
      </c>
      <c r="O142" s="6" t="s">
        <v>36</v>
      </c>
      <c r="P142" s="6" t="s">
        <v>37</v>
      </c>
      <c r="Q142" s="6" t="s">
        <v>38</v>
      </c>
      <c r="R142" s="6" t="s">
        <v>55</v>
      </c>
      <c r="S142" s="6" t="s">
        <v>72</v>
      </c>
      <c r="T142" s="6" t="s">
        <v>50</v>
      </c>
      <c r="U142" s="6">
        <v>4.3</v>
      </c>
      <c r="V142" s="6">
        <v>5</v>
      </c>
      <c r="W142" s="6">
        <v>0</v>
      </c>
      <c r="X142" s="7">
        <v>43518</v>
      </c>
      <c r="Y142" s="6">
        <v>0</v>
      </c>
      <c r="Z142" s="8">
        <v>7</v>
      </c>
      <c r="AA142" s="9">
        <f>DATEDIF(Table1[[#This Row],[DateofBirth]],"1-1-2020","y")</f>
        <v>53</v>
      </c>
      <c r="AB142" s="10" t="str" cm="1">
        <f t="array" ref="AB142">_xlfn.IFS(Table1[[#This Row],[age]]&lt; 20,"&lt;20",Table1[[#This Row],[age]]&lt; 30,"21-30",Table1[[#This Row],[age]]&lt; 40,"31-40", Table1[[#This Row],[age]]&lt; 50,"41-50",Table1[[#This Row],[age]]&lt; 60,"51-60",Table1[[#This Row],[age]]&lt;70,"60+")</f>
        <v>51-60</v>
      </c>
    </row>
    <row r="143" spans="1:28" ht="13.5" customHeight="1">
      <c r="A143" s="5" t="s">
        <v>280</v>
      </c>
      <c r="B143" s="6">
        <v>10009</v>
      </c>
      <c r="C143" s="6">
        <v>60724</v>
      </c>
      <c r="D143" s="6" t="s">
        <v>52</v>
      </c>
      <c r="E143" s="6" t="s">
        <v>30</v>
      </c>
      <c r="F143" s="6">
        <v>1821</v>
      </c>
      <c r="G143" s="7">
        <v>31574</v>
      </c>
      <c r="H143" s="6" t="s">
        <v>53</v>
      </c>
      <c r="I143" s="6" t="s">
        <v>59</v>
      </c>
      <c r="J143" s="6" t="s">
        <v>33</v>
      </c>
      <c r="K143" s="6" t="s">
        <v>34</v>
      </c>
      <c r="L143" s="6" t="s">
        <v>250</v>
      </c>
      <c r="M143" s="7">
        <v>40670</v>
      </c>
      <c r="N143" s="7">
        <v>32874</v>
      </c>
      <c r="O143" s="6" t="s">
        <v>36</v>
      </c>
      <c r="P143" s="6" t="s">
        <v>37</v>
      </c>
      <c r="Q143" s="6" t="s">
        <v>38</v>
      </c>
      <c r="R143" s="6" t="s">
        <v>71</v>
      </c>
      <c r="S143" s="6" t="s">
        <v>40</v>
      </c>
      <c r="T143" s="6" t="s">
        <v>41</v>
      </c>
      <c r="U143" s="6">
        <v>4.5999999999999996</v>
      </c>
      <c r="V143" s="6">
        <v>4</v>
      </c>
      <c r="W143" s="6">
        <v>0</v>
      </c>
      <c r="X143" s="7">
        <v>43521</v>
      </c>
      <c r="Y143" s="6">
        <v>0</v>
      </c>
      <c r="Z143" s="8">
        <v>11</v>
      </c>
      <c r="AA143" s="9">
        <f>DATEDIF(Table1[[#This Row],[DateofBirth]],"1-1-2020","y")</f>
        <v>33</v>
      </c>
      <c r="AB143" s="10" t="str" cm="1">
        <f t="array" ref="AB143">_xlfn.IFS(Table1[[#This Row],[age]]&lt; 20,"&lt;20",Table1[[#This Row],[age]]&lt; 30,"21-30",Table1[[#This Row],[age]]&lt; 40,"31-40", Table1[[#This Row],[age]]&lt; 50,"41-50",Table1[[#This Row],[age]]&lt; 60,"51-60",Table1[[#This Row],[age]]&lt;70,"60+")</f>
        <v>31-40</v>
      </c>
    </row>
    <row r="144" spans="1:28" ht="13.5" customHeight="1">
      <c r="A144" s="5" t="s">
        <v>281</v>
      </c>
      <c r="B144" s="6">
        <v>10060</v>
      </c>
      <c r="C144" s="6">
        <v>60436</v>
      </c>
      <c r="D144" s="6" t="s">
        <v>29</v>
      </c>
      <c r="E144" s="6" t="s">
        <v>30</v>
      </c>
      <c r="F144" s="6">
        <v>2109</v>
      </c>
      <c r="G144" s="7">
        <v>23480</v>
      </c>
      <c r="H144" s="6" t="s">
        <v>53</v>
      </c>
      <c r="I144" s="6" t="s">
        <v>129</v>
      </c>
      <c r="J144" s="6" t="s">
        <v>33</v>
      </c>
      <c r="K144" s="6" t="s">
        <v>34</v>
      </c>
      <c r="L144" s="6" t="s">
        <v>35</v>
      </c>
      <c r="M144" s="7">
        <v>41791</v>
      </c>
      <c r="N144" s="7">
        <v>32874</v>
      </c>
      <c r="O144" s="6" t="s">
        <v>36</v>
      </c>
      <c r="P144" s="6" t="s">
        <v>37</v>
      </c>
      <c r="Q144" s="6" t="s">
        <v>38</v>
      </c>
      <c r="R144" s="6" t="s">
        <v>91</v>
      </c>
      <c r="S144" s="6" t="s">
        <v>40</v>
      </c>
      <c r="T144" s="6" t="s">
        <v>50</v>
      </c>
      <c r="U144" s="6">
        <v>5</v>
      </c>
      <c r="V144" s="6">
        <v>5</v>
      </c>
      <c r="W144" s="6">
        <v>0</v>
      </c>
      <c r="X144" s="7">
        <v>43486</v>
      </c>
      <c r="Y144" s="6">
        <v>0</v>
      </c>
      <c r="Z144" s="8">
        <v>9</v>
      </c>
      <c r="AA144" s="9">
        <f>DATEDIF(Table1[[#This Row],[DateofBirth]],"1-1-2020","y")</f>
        <v>55</v>
      </c>
      <c r="AB144" s="10" t="str" cm="1">
        <f t="array" ref="AB144">_xlfn.IFS(Table1[[#This Row],[age]]&lt; 20,"&lt;20",Table1[[#This Row],[age]]&lt; 30,"21-30",Table1[[#This Row],[age]]&lt; 40,"31-40", Table1[[#This Row],[age]]&lt; 50,"41-50",Table1[[#This Row],[age]]&lt; 60,"51-60",Table1[[#This Row],[age]]&lt;70,"60+")</f>
        <v>51-60</v>
      </c>
    </row>
    <row r="145" spans="1:28" ht="13.5" customHeight="1">
      <c r="A145" s="5" t="s">
        <v>282</v>
      </c>
      <c r="B145" s="6">
        <v>10034</v>
      </c>
      <c r="C145" s="6">
        <v>46837</v>
      </c>
      <c r="D145" s="6" t="s">
        <v>29</v>
      </c>
      <c r="E145" s="6" t="s">
        <v>30</v>
      </c>
      <c r="F145" s="6">
        <v>2445</v>
      </c>
      <c r="G145" s="7">
        <v>21781</v>
      </c>
      <c r="H145" s="6" t="s">
        <v>31</v>
      </c>
      <c r="I145" s="6" t="s">
        <v>44</v>
      </c>
      <c r="J145" s="6" t="s">
        <v>33</v>
      </c>
      <c r="K145" s="6" t="s">
        <v>34</v>
      </c>
      <c r="L145" s="6" t="s">
        <v>35</v>
      </c>
      <c r="M145" s="7">
        <v>40735</v>
      </c>
      <c r="N145" s="7">
        <v>43219</v>
      </c>
      <c r="O145" s="6" t="s">
        <v>185</v>
      </c>
      <c r="P145" s="6" t="s">
        <v>46</v>
      </c>
      <c r="Q145" s="6" t="s">
        <v>38</v>
      </c>
      <c r="R145" s="6" t="s">
        <v>39</v>
      </c>
      <c r="S145" s="6" t="s">
        <v>109</v>
      </c>
      <c r="T145" s="6" t="s">
        <v>41</v>
      </c>
      <c r="U145" s="6">
        <v>4.7</v>
      </c>
      <c r="V145" s="6">
        <v>4</v>
      </c>
      <c r="W145" s="6">
        <v>0</v>
      </c>
      <c r="X145" s="7">
        <v>43145</v>
      </c>
      <c r="Y145" s="6">
        <v>0</v>
      </c>
      <c r="Z145" s="8">
        <v>9</v>
      </c>
      <c r="AA145" s="9">
        <f>DATEDIF(Table1[[#This Row],[DateofBirth]],"1-1-2020","y")</f>
        <v>60</v>
      </c>
      <c r="AB145" s="10" t="str" cm="1">
        <f t="array" ref="AB145">_xlfn.IFS(Table1[[#This Row],[age]]&lt; 20,"&lt;20",Table1[[#This Row],[age]]&lt; 30,"21-30",Table1[[#This Row],[age]]&lt; 40,"31-40", Table1[[#This Row],[age]]&lt; 50,"41-50",Table1[[#This Row],[age]]&lt; 60,"51-60",Table1[[#This Row],[age]]&lt;70,"60+")</f>
        <v>60+</v>
      </c>
    </row>
    <row r="146" spans="1:28" ht="13.5" customHeight="1">
      <c r="A146" s="5" t="s">
        <v>283</v>
      </c>
      <c r="B146" s="6">
        <v>10156</v>
      </c>
      <c r="C146" s="6">
        <v>105700</v>
      </c>
      <c r="D146" s="6" t="s">
        <v>101</v>
      </c>
      <c r="E146" s="6" t="s">
        <v>30</v>
      </c>
      <c r="F146" s="6">
        <v>2301</v>
      </c>
      <c r="G146" s="7">
        <v>31604</v>
      </c>
      <c r="H146" s="6" t="s">
        <v>53</v>
      </c>
      <c r="I146" s="6" t="s">
        <v>44</v>
      </c>
      <c r="J146" s="6" t="s">
        <v>33</v>
      </c>
      <c r="K146" s="6" t="s">
        <v>34</v>
      </c>
      <c r="L146" s="6" t="s">
        <v>104</v>
      </c>
      <c r="M146" s="7">
        <v>42125</v>
      </c>
      <c r="N146" s="7">
        <v>32874</v>
      </c>
      <c r="O146" s="6" t="s">
        <v>36</v>
      </c>
      <c r="P146" s="6" t="s">
        <v>37</v>
      </c>
      <c r="Q146" s="6" t="s">
        <v>47</v>
      </c>
      <c r="R146" s="6" t="s">
        <v>48</v>
      </c>
      <c r="S146" s="6" t="s">
        <v>49</v>
      </c>
      <c r="T146" s="6" t="s">
        <v>50</v>
      </c>
      <c r="U146" s="6">
        <v>3.75</v>
      </c>
      <c r="V146" s="6">
        <v>3</v>
      </c>
      <c r="W146" s="6">
        <v>5</v>
      </c>
      <c r="X146" s="7">
        <v>43771</v>
      </c>
      <c r="Y146" s="6">
        <v>0</v>
      </c>
      <c r="Z146" s="8">
        <v>2</v>
      </c>
      <c r="AA146" s="9">
        <f>DATEDIF(Table1[[#This Row],[DateofBirth]],"1-1-2020","y")</f>
        <v>33</v>
      </c>
      <c r="AB146" s="10" t="str" cm="1">
        <f t="array" ref="AB146">_xlfn.IFS(Table1[[#This Row],[age]]&lt; 20,"&lt;20",Table1[[#This Row],[age]]&lt; 30,"21-30",Table1[[#This Row],[age]]&lt; 40,"31-40", Table1[[#This Row],[age]]&lt; 50,"41-50",Table1[[#This Row],[age]]&lt; 60,"51-60",Table1[[#This Row],[age]]&lt;70,"60+")</f>
        <v>31-40</v>
      </c>
    </row>
    <row r="147" spans="1:28" ht="13.5" customHeight="1">
      <c r="A147" s="5" t="s">
        <v>284</v>
      </c>
      <c r="B147" s="6">
        <v>10036</v>
      </c>
      <c r="C147" s="6">
        <v>63322</v>
      </c>
      <c r="D147" s="6" t="s">
        <v>52</v>
      </c>
      <c r="E147" s="6" t="s">
        <v>30</v>
      </c>
      <c r="F147" s="6">
        <v>2128</v>
      </c>
      <c r="G147" s="7">
        <v>25424</v>
      </c>
      <c r="H147" s="6" t="s">
        <v>53</v>
      </c>
      <c r="I147" s="6" t="s">
        <v>32</v>
      </c>
      <c r="J147" s="6" t="s">
        <v>33</v>
      </c>
      <c r="K147" s="6" t="s">
        <v>34</v>
      </c>
      <c r="L147" s="6" t="s">
        <v>35</v>
      </c>
      <c r="M147" s="7">
        <v>41827</v>
      </c>
      <c r="N147" s="7">
        <v>32874</v>
      </c>
      <c r="O147" s="6" t="s">
        <v>36</v>
      </c>
      <c r="P147" s="6" t="s">
        <v>37</v>
      </c>
      <c r="Q147" s="6" t="s">
        <v>38</v>
      </c>
      <c r="R147" s="6" t="s">
        <v>75</v>
      </c>
      <c r="S147" s="6" t="s">
        <v>40</v>
      </c>
      <c r="T147" s="6" t="s">
        <v>41</v>
      </c>
      <c r="U147" s="6">
        <v>4.3</v>
      </c>
      <c r="V147" s="6">
        <v>3</v>
      </c>
      <c r="W147" s="6">
        <v>0</v>
      </c>
      <c r="X147" s="7">
        <v>43770</v>
      </c>
      <c r="Y147" s="6">
        <v>0</v>
      </c>
      <c r="Z147" s="8">
        <v>1</v>
      </c>
      <c r="AA147" s="9">
        <f>DATEDIF(Table1[[#This Row],[DateofBirth]],"1-1-2020","y")</f>
        <v>50</v>
      </c>
      <c r="AB147" s="10" t="str" cm="1">
        <f t="array" ref="AB147">_xlfn.IFS(Table1[[#This Row],[age]]&lt; 20,"&lt;20",Table1[[#This Row],[age]]&lt; 30,"21-30",Table1[[#This Row],[age]]&lt; 40,"31-40", Table1[[#This Row],[age]]&lt; 50,"41-50",Table1[[#This Row],[age]]&lt; 60,"51-60",Table1[[#This Row],[age]]&lt;70,"60+")</f>
        <v>51-60</v>
      </c>
    </row>
    <row r="148" spans="1:28" ht="13.5" customHeight="1">
      <c r="A148" s="5" t="s">
        <v>285</v>
      </c>
      <c r="B148" s="6">
        <v>10138</v>
      </c>
      <c r="C148" s="6">
        <v>61154</v>
      </c>
      <c r="D148" s="6" t="s">
        <v>29</v>
      </c>
      <c r="E148" s="6" t="s">
        <v>30</v>
      </c>
      <c r="F148" s="6">
        <v>2446</v>
      </c>
      <c r="G148" s="7">
        <v>31519</v>
      </c>
      <c r="H148" s="6" t="s">
        <v>53</v>
      </c>
      <c r="I148" s="6" t="s">
        <v>44</v>
      </c>
      <c r="J148" s="6" t="s">
        <v>33</v>
      </c>
      <c r="K148" s="6" t="s">
        <v>34</v>
      </c>
      <c r="L148" s="6" t="s">
        <v>74</v>
      </c>
      <c r="M148" s="7">
        <v>40817</v>
      </c>
      <c r="N148" s="7">
        <v>42373</v>
      </c>
      <c r="O148" s="6" t="s">
        <v>85</v>
      </c>
      <c r="P148" s="6" t="s">
        <v>46</v>
      </c>
      <c r="Q148" s="6" t="s">
        <v>38</v>
      </c>
      <c r="R148" s="6" t="s">
        <v>57</v>
      </c>
      <c r="S148" s="6" t="s">
        <v>109</v>
      </c>
      <c r="T148" s="6" t="s">
        <v>50</v>
      </c>
      <c r="U148" s="6">
        <v>4</v>
      </c>
      <c r="V148" s="6">
        <v>4</v>
      </c>
      <c r="W148" s="6">
        <v>0</v>
      </c>
      <c r="X148" s="7">
        <v>42431</v>
      </c>
      <c r="Y148" s="6">
        <v>0</v>
      </c>
      <c r="Z148" s="8">
        <v>4</v>
      </c>
      <c r="AA148" s="9">
        <f>DATEDIF(Table1[[#This Row],[DateofBirth]],"1-1-2020","y")</f>
        <v>33</v>
      </c>
      <c r="AB148" s="10" t="str" cm="1">
        <f t="array" ref="AB148">_xlfn.IFS(Table1[[#This Row],[age]]&lt; 20,"&lt;20",Table1[[#This Row],[age]]&lt; 30,"21-30",Table1[[#This Row],[age]]&lt; 40,"31-40", Table1[[#This Row],[age]]&lt; 50,"41-50",Table1[[#This Row],[age]]&lt; 60,"51-60",Table1[[#This Row],[age]]&lt;70,"60+")</f>
        <v>31-40</v>
      </c>
    </row>
    <row r="149" spans="1:28" ht="13.5" customHeight="1">
      <c r="A149" s="5" t="s">
        <v>286</v>
      </c>
      <c r="B149" s="6">
        <v>10244</v>
      </c>
      <c r="C149" s="6">
        <v>68999</v>
      </c>
      <c r="D149" s="6" t="s">
        <v>173</v>
      </c>
      <c r="E149" s="6" t="s">
        <v>287</v>
      </c>
      <c r="F149" s="6">
        <v>19444</v>
      </c>
      <c r="G149" s="7">
        <v>32823</v>
      </c>
      <c r="H149" s="6" t="s">
        <v>53</v>
      </c>
      <c r="I149" s="6" t="s">
        <v>32</v>
      </c>
      <c r="J149" s="6" t="s">
        <v>33</v>
      </c>
      <c r="K149" s="6" t="s">
        <v>34</v>
      </c>
      <c r="L149" s="6" t="s">
        <v>35</v>
      </c>
      <c r="M149" s="7">
        <v>40735</v>
      </c>
      <c r="N149" s="7">
        <v>41753</v>
      </c>
      <c r="O149" s="6" t="s">
        <v>288</v>
      </c>
      <c r="P149" s="6" t="s">
        <v>46</v>
      </c>
      <c r="Q149" s="6" t="s">
        <v>133</v>
      </c>
      <c r="R149" s="6" t="s">
        <v>174</v>
      </c>
      <c r="S149" s="6" t="s">
        <v>62</v>
      </c>
      <c r="T149" s="6" t="s">
        <v>50</v>
      </c>
      <c r="U149" s="6">
        <v>4.5</v>
      </c>
      <c r="V149" s="6">
        <v>5</v>
      </c>
      <c r="W149" s="6">
        <v>0</v>
      </c>
      <c r="X149" s="7">
        <v>41363</v>
      </c>
      <c r="Y149" s="6">
        <v>0</v>
      </c>
      <c r="Z149" s="8">
        <v>2</v>
      </c>
      <c r="AA149" s="9">
        <f>DATEDIF(Table1[[#This Row],[DateofBirth]],"1-1-2020","y")</f>
        <v>30</v>
      </c>
      <c r="AB149" s="10" t="str" cm="1">
        <f t="array" ref="AB149">_xlfn.IFS(Table1[[#This Row],[age]]&lt; 20,"&lt;20",Table1[[#This Row],[age]]&lt; 30,"21-30",Table1[[#This Row],[age]]&lt; 40,"31-40", Table1[[#This Row],[age]]&lt; 50,"41-50",Table1[[#This Row],[age]]&lt; 60,"51-60",Table1[[#This Row],[age]]&lt;70,"60+")</f>
        <v>31-40</v>
      </c>
    </row>
    <row r="150" spans="1:28" ht="13.5" customHeight="1">
      <c r="A150" s="5" t="s">
        <v>289</v>
      </c>
      <c r="B150" s="6">
        <v>10192</v>
      </c>
      <c r="C150" s="6">
        <v>50482</v>
      </c>
      <c r="D150" s="6" t="s">
        <v>29</v>
      </c>
      <c r="E150" s="6" t="s">
        <v>30</v>
      </c>
      <c r="F150" s="6">
        <v>1887</v>
      </c>
      <c r="G150" s="7">
        <v>27778</v>
      </c>
      <c r="H150" s="6" t="s">
        <v>31</v>
      </c>
      <c r="I150" s="6" t="s">
        <v>32</v>
      </c>
      <c r="J150" s="6" t="s">
        <v>33</v>
      </c>
      <c r="K150" s="6" t="s">
        <v>34</v>
      </c>
      <c r="L150" s="6" t="s">
        <v>35</v>
      </c>
      <c r="M150" s="7">
        <v>41547</v>
      </c>
      <c r="N150" s="7">
        <v>32874</v>
      </c>
      <c r="O150" s="6" t="s">
        <v>36</v>
      </c>
      <c r="P150" s="6" t="s">
        <v>37</v>
      </c>
      <c r="Q150" s="6" t="s">
        <v>38</v>
      </c>
      <c r="R150" s="6" t="s">
        <v>39</v>
      </c>
      <c r="S150" s="6" t="s">
        <v>49</v>
      </c>
      <c r="T150" s="6" t="s">
        <v>50</v>
      </c>
      <c r="U150" s="6">
        <v>3.07</v>
      </c>
      <c r="V150" s="6">
        <v>4</v>
      </c>
      <c r="W150" s="6">
        <v>0</v>
      </c>
      <c r="X150" s="7">
        <v>43488</v>
      </c>
      <c r="Y150" s="6">
        <v>0</v>
      </c>
      <c r="Z150" s="8">
        <v>10</v>
      </c>
      <c r="AA150" s="9">
        <f>DATEDIF(Table1[[#This Row],[DateofBirth]],"1-1-2020","y")</f>
        <v>43</v>
      </c>
      <c r="AB150" s="10" t="str" cm="1">
        <f t="array" ref="AB150">_xlfn.IFS(Table1[[#This Row],[age]]&lt; 20,"&lt;20",Table1[[#This Row],[age]]&lt; 30,"21-30",Table1[[#This Row],[age]]&lt; 40,"31-40", Table1[[#This Row],[age]]&lt; 50,"41-50",Table1[[#This Row],[age]]&lt; 60,"51-60",Table1[[#This Row],[age]]&lt;70,"60+")</f>
        <v>41-50</v>
      </c>
    </row>
    <row r="151" spans="1:28" ht="13.5" customHeight="1">
      <c r="A151" s="5" t="s">
        <v>290</v>
      </c>
      <c r="B151" s="6">
        <v>10231</v>
      </c>
      <c r="C151" s="6">
        <v>65310</v>
      </c>
      <c r="D151" s="6" t="s">
        <v>131</v>
      </c>
      <c r="E151" s="6" t="s">
        <v>291</v>
      </c>
      <c r="F151" s="6">
        <v>80820</v>
      </c>
      <c r="G151" s="7">
        <v>29186</v>
      </c>
      <c r="H151" s="6" t="s">
        <v>31</v>
      </c>
      <c r="I151" s="6" t="s">
        <v>32</v>
      </c>
      <c r="J151" s="6" t="s">
        <v>33</v>
      </c>
      <c r="K151" s="6" t="s">
        <v>34</v>
      </c>
      <c r="L151" s="6" t="s">
        <v>35</v>
      </c>
      <c r="M151" s="7">
        <v>41505</v>
      </c>
      <c r="N151" s="7">
        <v>32874</v>
      </c>
      <c r="O151" s="6" t="s">
        <v>36</v>
      </c>
      <c r="P151" s="6" t="s">
        <v>37</v>
      </c>
      <c r="Q151" s="6" t="s">
        <v>133</v>
      </c>
      <c r="R151" s="6" t="s">
        <v>152</v>
      </c>
      <c r="S151" s="6" t="s">
        <v>49</v>
      </c>
      <c r="T151" s="6" t="s">
        <v>50</v>
      </c>
      <c r="U151" s="6">
        <v>4.3</v>
      </c>
      <c r="V151" s="6">
        <v>5</v>
      </c>
      <c r="W151" s="6">
        <v>0</v>
      </c>
      <c r="X151" s="7">
        <v>43487</v>
      </c>
      <c r="Y151" s="6">
        <v>0</v>
      </c>
      <c r="Z151" s="8">
        <v>13</v>
      </c>
      <c r="AA151" s="9">
        <f>DATEDIF(Table1[[#This Row],[DateofBirth]],"1-1-2020","y")</f>
        <v>40</v>
      </c>
      <c r="AB151" s="10" t="str" cm="1">
        <f t="array" ref="AB151">_xlfn.IFS(Table1[[#This Row],[age]]&lt; 20,"&lt;20",Table1[[#This Row],[age]]&lt; 30,"21-30",Table1[[#This Row],[age]]&lt; 40,"31-40", Table1[[#This Row],[age]]&lt; 50,"41-50",Table1[[#This Row],[age]]&lt; 60,"51-60",Table1[[#This Row],[age]]&lt;70,"60+")</f>
        <v>41-50</v>
      </c>
    </row>
    <row r="152" spans="1:28" ht="13.5" customHeight="1">
      <c r="A152" s="5" t="s">
        <v>292</v>
      </c>
      <c r="B152" s="6">
        <v>10089</v>
      </c>
      <c r="C152" s="6">
        <v>250000</v>
      </c>
      <c r="D152" s="6" t="s">
        <v>293</v>
      </c>
      <c r="E152" s="6" t="s">
        <v>30</v>
      </c>
      <c r="F152" s="6">
        <v>1902</v>
      </c>
      <c r="G152" s="7">
        <v>19988</v>
      </c>
      <c r="H152" s="6" t="s">
        <v>53</v>
      </c>
      <c r="I152" s="6" t="s">
        <v>44</v>
      </c>
      <c r="J152" s="6" t="s">
        <v>33</v>
      </c>
      <c r="K152" s="6" t="s">
        <v>81</v>
      </c>
      <c r="L152" s="6" t="s">
        <v>35</v>
      </c>
      <c r="M152" s="7">
        <v>40946</v>
      </c>
      <c r="N152" s="7">
        <v>32874</v>
      </c>
      <c r="O152" s="6" t="s">
        <v>36</v>
      </c>
      <c r="P152" s="6" t="s">
        <v>37</v>
      </c>
      <c r="Q152" s="6" t="s">
        <v>294</v>
      </c>
      <c r="R152" s="6" t="s">
        <v>227</v>
      </c>
      <c r="S152" s="6" t="s">
        <v>49</v>
      </c>
      <c r="T152" s="6" t="s">
        <v>50</v>
      </c>
      <c r="U152" s="6">
        <v>4.83</v>
      </c>
      <c r="V152" s="6">
        <v>3</v>
      </c>
      <c r="W152" s="6">
        <v>0</v>
      </c>
      <c r="X152" s="7">
        <v>43482</v>
      </c>
      <c r="Y152" s="6">
        <v>0</v>
      </c>
      <c r="Z152" s="8">
        <v>10</v>
      </c>
      <c r="AA152" s="9">
        <f>DATEDIF(Table1[[#This Row],[DateofBirth]],"1-1-2020","y")</f>
        <v>65</v>
      </c>
      <c r="AB152" s="10" t="str" cm="1">
        <f t="array" ref="AB152">_xlfn.IFS(Table1[[#This Row],[age]]&lt; 20,"&lt;20",Table1[[#This Row],[age]]&lt; 30,"21-30",Table1[[#This Row],[age]]&lt; 40,"31-40", Table1[[#This Row],[age]]&lt; 50,"41-50",Table1[[#This Row],[age]]&lt; 60,"51-60",Table1[[#This Row],[age]]&lt;70,"60+")</f>
        <v>60+</v>
      </c>
    </row>
    <row r="153" spans="1:28" ht="13.5" customHeight="1">
      <c r="A153" s="5" t="s">
        <v>295</v>
      </c>
      <c r="B153" s="6">
        <v>10166</v>
      </c>
      <c r="C153" s="6">
        <v>54005</v>
      </c>
      <c r="D153" s="6" t="s">
        <v>29</v>
      </c>
      <c r="E153" s="6" t="s">
        <v>30</v>
      </c>
      <c r="F153" s="6">
        <v>2170</v>
      </c>
      <c r="G153" s="7">
        <v>26888</v>
      </c>
      <c r="H153" s="6" t="s">
        <v>53</v>
      </c>
      <c r="I153" s="6" t="s">
        <v>44</v>
      </c>
      <c r="J153" s="6" t="s">
        <v>33</v>
      </c>
      <c r="K153" s="6" t="s">
        <v>34</v>
      </c>
      <c r="L153" s="6" t="s">
        <v>35</v>
      </c>
      <c r="M153" s="7">
        <v>40812</v>
      </c>
      <c r="N153" s="7">
        <v>42100</v>
      </c>
      <c r="O153" s="6" t="s">
        <v>185</v>
      </c>
      <c r="P153" s="6" t="s">
        <v>46</v>
      </c>
      <c r="Q153" s="6" t="s">
        <v>38</v>
      </c>
      <c r="R153" s="6" t="s">
        <v>61</v>
      </c>
      <c r="S153" s="6" t="s">
        <v>62</v>
      </c>
      <c r="T153" s="6" t="s">
        <v>50</v>
      </c>
      <c r="U153" s="6">
        <v>3.6</v>
      </c>
      <c r="V153" s="6">
        <v>5</v>
      </c>
      <c r="W153" s="6">
        <v>0</v>
      </c>
      <c r="X153" s="7">
        <v>42007</v>
      </c>
      <c r="Y153" s="6">
        <v>0</v>
      </c>
      <c r="Z153" s="8">
        <v>16</v>
      </c>
      <c r="AA153" s="9">
        <f>DATEDIF(Table1[[#This Row],[DateofBirth]],"1-1-2020","y")</f>
        <v>46</v>
      </c>
      <c r="AB153" s="10" t="str" cm="1">
        <f t="array" ref="AB153">_xlfn.IFS(Table1[[#This Row],[age]]&lt; 20,"&lt;20",Table1[[#This Row],[age]]&lt; 30,"21-30",Table1[[#This Row],[age]]&lt; 40,"31-40", Table1[[#This Row],[age]]&lt; 50,"41-50",Table1[[#This Row],[age]]&lt; 60,"51-60",Table1[[#This Row],[age]]&lt;70,"60+")</f>
        <v>41-50</v>
      </c>
    </row>
    <row r="154" spans="1:28" ht="13.5" customHeight="1">
      <c r="A154" s="5" t="s">
        <v>296</v>
      </c>
      <c r="B154" s="6">
        <v>10170</v>
      </c>
      <c r="C154" s="6">
        <v>45433</v>
      </c>
      <c r="D154" s="6" t="s">
        <v>29</v>
      </c>
      <c r="E154" s="6" t="s">
        <v>30</v>
      </c>
      <c r="F154" s="6">
        <v>2127</v>
      </c>
      <c r="G154" s="7">
        <v>25790</v>
      </c>
      <c r="H154" s="6" t="s">
        <v>53</v>
      </c>
      <c r="I154" s="6" t="s">
        <v>44</v>
      </c>
      <c r="J154" s="6" t="s">
        <v>33</v>
      </c>
      <c r="K154" s="6" t="s">
        <v>34</v>
      </c>
      <c r="L154" s="6" t="s">
        <v>35</v>
      </c>
      <c r="M154" s="7">
        <v>40812</v>
      </c>
      <c r="N154" s="7">
        <v>41883</v>
      </c>
      <c r="O154" s="6" t="s">
        <v>185</v>
      </c>
      <c r="P154" s="6" t="s">
        <v>46</v>
      </c>
      <c r="Q154" s="6" t="s">
        <v>38</v>
      </c>
      <c r="R154" s="6" t="s">
        <v>64</v>
      </c>
      <c r="S154" s="6" t="s">
        <v>62</v>
      </c>
      <c r="T154" s="6" t="s">
        <v>50</v>
      </c>
      <c r="U154" s="6">
        <v>3.49</v>
      </c>
      <c r="V154" s="6">
        <v>4</v>
      </c>
      <c r="W154" s="6">
        <v>0</v>
      </c>
      <c r="X154" s="7">
        <v>41304</v>
      </c>
      <c r="Y154" s="6">
        <v>0</v>
      </c>
      <c r="Z154" s="8">
        <v>6</v>
      </c>
      <c r="AA154" s="9">
        <f>DATEDIF(Table1[[#This Row],[DateofBirth]],"1-1-2020","y")</f>
        <v>49</v>
      </c>
      <c r="AB154" s="10" t="str" cm="1">
        <f t="array" ref="AB154">_xlfn.IFS(Table1[[#This Row],[age]]&lt; 20,"&lt;20",Table1[[#This Row],[age]]&lt; 30,"21-30",Table1[[#This Row],[age]]&lt; 40,"31-40", Table1[[#This Row],[age]]&lt; 50,"41-50",Table1[[#This Row],[age]]&lt; 60,"51-60",Table1[[#This Row],[age]]&lt;70,"60+")</f>
        <v>41-50</v>
      </c>
    </row>
    <row r="155" spans="1:28" ht="13.5" customHeight="1">
      <c r="A155" s="5" t="s">
        <v>297</v>
      </c>
      <c r="B155" s="6">
        <v>10208</v>
      </c>
      <c r="C155" s="6">
        <v>46654</v>
      </c>
      <c r="D155" s="6" t="s">
        <v>29</v>
      </c>
      <c r="E155" s="6" t="s">
        <v>30</v>
      </c>
      <c r="F155" s="6">
        <v>1721</v>
      </c>
      <c r="G155" s="7">
        <v>28409</v>
      </c>
      <c r="H155" s="6" t="s">
        <v>31</v>
      </c>
      <c r="I155" s="6" t="s">
        <v>32</v>
      </c>
      <c r="J155" s="6" t="s">
        <v>33</v>
      </c>
      <c r="K155" s="6" t="s">
        <v>34</v>
      </c>
      <c r="L155" s="6" t="s">
        <v>74</v>
      </c>
      <c r="M155" s="7">
        <v>41687</v>
      </c>
      <c r="N155" s="7">
        <v>32874</v>
      </c>
      <c r="O155" s="6" t="s">
        <v>36</v>
      </c>
      <c r="P155" s="6" t="s">
        <v>37</v>
      </c>
      <c r="Q155" s="6" t="s">
        <v>38</v>
      </c>
      <c r="R155" s="6" t="s">
        <v>71</v>
      </c>
      <c r="S155" s="6" t="s">
        <v>40</v>
      </c>
      <c r="T155" s="6" t="s">
        <v>50</v>
      </c>
      <c r="U155" s="6">
        <v>3.1</v>
      </c>
      <c r="V155" s="6">
        <v>3</v>
      </c>
      <c r="W155" s="6">
        <v>0</v>
      </c>
      <c r="X155" s="7">
        <v>43618</v>
      </c>
      <c r="Y155" s="6">
        <v>0</v>
      </c>
      <c r="Z155" s="8">
        <v>3</v>
      </c>
      <c r="AA155" s="9">
        <f>DATEDIF(Table1[[#This Row],[DateofBirth]],"1-1-2020","y")</f>
        <v>42</v>
      </c>
      <c r="AB155" s="10" t="str" cm="1">
        <f t="array" ref="AB155">_xlfn.IFS(Table1[[#This Row],[age]]&lt; 20,"&lt;20",Table1[[#This Row],[age]]&lt; 30,"21-30",Table1[[#This Row],[age]]&lt; 40,"31-40", Table1[[#This Row],[age]]&lt; 50,"41-50",Table1[[#This Row],[age]]&lt; 60,"51-60",Table1[[#This Row],[age]]&lt;70,"60+")</f>
        <v>41-50</v>
      </c>
    </row>
    <row r="156" spans="1:28" ht="13.5" customHeight="1">
      <c r="A156" s="5" t="s">
        <v>298</v>
      </c>
      <c r="B156" s="6">
        <v>10176</v>
      </c>
      <c r="C156" s="6">
        <v>63973</v>
      </c>
      <c r="D156" s="6" t="s">
        <v>29</v>
      </c>
      <c r="E156" s="6" t="s">
        <v>30</v>
      </c>
      <c r="F156" s="6">
        <v>1801</v>
      </c>
      <c r="G156" s="7">
        <v>29253</v>
      </c>
      <c r="H156" s="6" t="s">
        <v>31</v>
      </c>
      <c r="I156" s="6" t="s">
        <v>44</v>
      </c>
      <c r="J156" s="6" t="s">
        <v>33</v>
      </c>
      <c r="K156" s="6" t="s">
        <v>34</v>
      </c>
      <c r="L156" s="6" t="s">
        <v>104</v>
      </c>
      <c r="M156" s="7">
        <v>40817</v>
      </c>
      <c r="N156" s="7">
        <v>32874</v>
      </c>
      <c r="O156" s="6" t="s">
        <v>36</v>
      </c>
      <c r="P156" s="6" t="s">
        <v>37</v>
      </c>
      <c r="Q156" s="6" t="s">
        <v>38</v>
      </c>
      <c r="R156" s="6" t="s">
        <v>75</v>
      </c>
      <c r="S156" s="6" t="s">
        <v>49</v>
      </c>
      <c r="T156" s="6" t="s">
        <v>50</v>
      </c>
      <c r="U156" s="6">
        <v>3.38</v>
      </c>
      <c r="V156" s="6">
        <v>3</v>
      </c>
      <c r="W156" s="6">
        <v>0</v>
      </c>
      <c r="X156" s="7">
        <v>43486</v>
      </c>
      <c r="Y156" s="6">
        <v>0</v>
      </c>
      <c r="Z156" s="8">
        <v>17</v>
      </c>
      <c r="AA156" s="9">
        <f>DATEDIF(Table1[[#This Row],[DateofBirth]],"1-1-2020","y")</f>
        <v>39</v>
      </c>
      <c r="AB156" s="10" t="str" cm="1">
        <f t="array" ref="AB156">_xlfn.IFS(Table1[[#This Row],[age]]&lt; 20,"&lt;20",Table1[[#This Row],[age]]&lt; 30,"21-30",Table1[[#This Row],[age]]&lt; 40,"31-40", Table1[[#This Row],[age]]&lt; 50,"41-50",Table1[[#This Row],[age]]&lt; 60,"51-60",Table1[[#This Row],[age]]&lt;70,"60+")</f>
        <v>31-40</v>
      </c>
    </row>
    <row r="157" spans="1:28" ht="13.5" customHeight="1">
      <c r="A157" s="5" t="s">
        <v>299</v>
      </c>
      <c r="B157" s="6">
        <v>10165</v>
      </c>
      <c r="C157" s="6">
        <v>71339</v>
      </c>
      <c r="D157" s="6" t="s">
        <v>131</v>
      </c>
      <c r="E157" s="6" t="s">
        <v>300</v>
      </c>
      <c r="F157" s="6">
        <v>10171</v>
      </c>
      <c r="G157" s="7">
        <v>25258</v>
      </c>
      <c r="H157" s="6" t="s">
        <v>31</v>
      </c>
      <c r="I157" s="6" t="s">
        <v>32</v>
      </c>
      <c r="J157" s="6" t="s">
        <v>33</v>
      </c>
      <c r="K157" s="6" t="s">
        <v>81</v>
      </c>
      <c r="L157" s="6" t="s">
        <v>74</v>
      </c>
      <c r="M157" s="7">
        <v>40727</v>
      </c>
      <c r="N157" s="7">
        <v>32874</v>
      </c>
      <c r="O157" s="6" t="s">
        <v>36</v>
      </c>
      <c r="P157" s="6" t="s">
        <v>37</v>
      </c>
      <c r="Q157" s="6" t="s">
        <v>133</v>
      </c>
      <c r="R157" s="6" t="s">
        <v>134</v>
      </c>
      <c r="S157" s="6" t="s">
        <v>76</v>
      </c>
      <c r="T157" s="6" t="s">
        <v>50</v>
      </c>
      <c r="U157" s="6">
        <v>3.65</v>
      </c>
      <c r="V157" s="6">
        <v>5</v>
      </c>
      <c r="W157" s="6">
        <v>0</v>
      </c>
      <c r="X157" s="7">
        <v>43482</v>
      </c>
      <c r="Y157" s="6">
        <v>0</v>
      </c>
      <c r="Z157" s="8">
        <v>20</v>
      </c>
      <c r="AA157" s="9">
        <f>DATEDIF(Table1[[#This Row],[DateofBirth]],"1-1-2020","y")</f>
        <v>50</v>
      </c>
      <c r="AB157" s="10" t="str" cm="1">
        <f t="array" ref="AB157">_xlfn.IFS(Table1[[#This Row],[age]]&lt; 20,"&lt;20",Table1[[#This Row],[age]]&lt; 30,"21-30",Table1[[#This Row],[age]]&lt; 40,"31-40", Table1[[#This Row],[age]]&lt; 50,"41-50",Table1[[#This Row],[age]]&lt; 60,"51-60",Table1[[#This Row],[age]]&lt;70,"60+")</f>
        <v>51-60</v>
      </c>
    </row>
    <row r="158" spans="1:28" ht="13.5" customHeight="1">
      <c r="A158" s="5" t="s">
        <v>301</v>
      </c>
      <c r="B158" s="6">
        <v>10113</v>
      </c>
      <c r="C158" s="6">
        <v>93206</v>
      </c>
      <c r="D158" s="6" t="s">
        <v>171</v>
      </c>
      <c r="E158" s="6" t="s">
        <v>30</v>
      </c>
      <c r="F158" s="6">
        <v>2169</v>
      </c>
      <c r="G158" s="7">
        <v>31525</v>
      </c>
      <c r="H158" s="6" t="s">
        <v>31</v>
      </c>
      <c r="I158" s="6" t="s">
        <v>44</v>
      </c>
      <c r="J158" s="6" t="s">
        <v>33</v>
      </c>
      <c r="K158" s="6" t="s">
        <v>34</v>
      </c>
      <c r="L158" s="6" t="s">
        <v>35</v>
      </c>
      <c r="M158" s="7">
        <v>41923</v>
      </c>
      <c r="N158" s="7">
        <v>32874</v>
      </c>
      <c r="O158" s="6" t="s">
        <v>36</v>
      </c>
      <c r="P158" s="6" t="s">
        <v>37</v>
      </c>
      <c r="Q158" s="6" t="s">
        <v>47</v>
      </c>
      <c r="R158" s="6" t="s">
        <v>79</v>
      </c>
      <c r="S158" s="6" t="s">
        <v>72</v>
      </c>
      <c r="T158" s="6" t="s">
        <v>50</v>
      </c>
      <c r="U158" s="6">
        <v>4.46</v>
      </c>
      <c r="V158" s="6">
        <v>5</v>
      </c>
      <c r="W158" s="6">
        <v>6</v>
      </c>
      <c r="X158" s="7">
        <v>43647</v>
      </c>
      <c r="Y158" s="6">
        <v>0</v>
      </c>
      <c r="Z158" s="8">
        <v>7</v>
      </c>
      <c r="AA158" s="9">
        <f>DATEDIF(Table1[[#This Row],[DateofBirth]],"1-1-2020","y")</f>
        <v>33</v>
      </c>
      <c r="AB158" s="10" t="str" cm="1">
        <f t="array" ref="AB158">_xlfn.IFS(Table1[[#This Row],[age]]&lt; 20,"&lt;20",Table1[[#This Row],[age]]&lt; 30,"21-30",Table1[[#This Row],[age]]&lt; 40,"31-40", Table1[[#This Row],[age]]&lt; 50,"41-50",Table1[[#This Row],[age]]&lt; 60,"51-60",Table1[[#This Row],[age]]&lt;70,"60+")</f>
        <v>31-40</v>
      </c>
    </row>
    <row r="159" spans="1:28" ht="13.5" customHeight="1">
      <c r="A159" s="5" t="s">
        <v>302</v>
      </c>
      <c r="B159" s="6">
        <v>10092</v>
      </c>
      <c r="C159" s="6">
        <v>82758</v>
      </c>
      <c r="D159" s="6" t="s">
        <v>121</v>
      </c>
      <c r="E159" s="6" t="s">
        <v>30</v>
      </c>
      <c r="F159" s="6">
        <v>1890</v>
      </c>
      <c r="G159" s="7">
        <v>26305</v>
      </c>
      <c r="H159" s="6" t="s">
        <v>31</v>
      </c>
      <c r="I159" s="6" t="s">
        <v>44</v>
      </c>
      <c r="J159" s="6" t="s">
        <v>33</v>
      </c>
      <c r="K159" s="6" t="s">
        <v>34</v>
      </c>
      <c r="L159" s="6" t="s">
        <v>35</v>
      </c>
      <c r="M159" s="7">
        <v>40817</v>
      </c>
      <c r="N159" s="7">
        <v>42350</v>
      </c>
      <c r="O159" s="6" t="s">
        <v>95</v>
      </c>
      <c r="P159" s="6" t="s">
        <v>96</v>
      </c>
      <c r="Q159" s="6" t="s">
        <v>38</v>
      </c>
      <c r="R159" s="6" t="s">
        <v>123</v>
      </c>
      <c r="S159" s="6" t="s">
        <v>72</v>
      </c>
      <c r="T159" s="6" t="s">
        <v>50</v>
      </c>
      <c r="U159" s="6">
        <v>4.78</v>
      </c>
      <c r="V159" s="6">
        <v>4</v>
      </c>
      <c r="W159" s="6">
        <v>0</v>
      </c>
      <c r="X159" s="7">
        <v>42050</v>
      </c>
      <c r="Y159" s="6">
        <v>0</v>
      </c>
      <c r="Z159" s="8">
        <v>9</v>
      </c>
      <c r="AA159" s="9">
        <f>DATEDIF(Table1[[#This Row],[DateofBirth]],"1-1-2020","y")</f>
        <v>47</v>
      </c>
      <c r="AB159" s="10" t="str" cm="1">
        <f t="array" ref="AB159">_xlfn.IFS(Table1[[#This Row],[age]]&lt; 20,"&lt;20",Table1[[#This Row],[age]]&lt; 30,"21-30",Table1[[#This Row],[age]]&lt; 40,"31-40", Table1[[#This Row],[age]]&lt; 50,"41-50",Table1[[#This Row],[age]]&lt; 60,"51-60",Table1[[#This Row],[age]]&lt;70,"60+")</f>
        <v>41-50</v>
      </c>
    </row>
    <row r="160" spans="1:28" ht="13.5" customHeight="1">
      <c r="A160" s="5" t="s">
        <v>303</v>
      </c>
      <c r="B160" s="6">
        <v>10106</v>
      </c>
      <c r="C160" s="6">
        <v>66074</v>
      </c>
      <c r="D160" s="6" t="s">
        <v>52</v>
      </c>
      <c r="E160" s="6" t="s">
        <v>30</v>
      </c>
      <c r="F160" s="6">
        <v>2090</v>
      </c>
      <c r="G160" s="7">
        <v>29061</v>
      </c>
      <c r="H160" s="6" t="s">
        <v>53</v>
      </c>
      <c r="I160" s="6" t="s">
        <v>59</v>
      </c>
      <c r="J160" s="6" t="s">
        <v>33</v>
      </c>
      <c r="K160" s="6" t="s">
        <v>34</v>
      </c>
      <c r="L160" s="6" t="s">
        <v>104</v>
      </c>
      <c r="M160" s="7">
        <v>41456</v>
      </c>
      <c r="N160" s="7">
        <v>41729</v>
      </c>
      <c r="O160" s="6" t="s">
        <v>82</v>
      </c>
      <c r="P160" s="6" t="s">
        <v>46</v>
      </c>
      <c r="Q160" s="6" t="s">
        <v>38</v>
      </c>
      <c r="R160" s="6" t="s">
        <v>83</v>
      </c>
      <c r="S160" s="6" t="s">
        <v>49</v>
      </c>
      <c r="T160" s="6" t="s">
        <v>50</v>
      </c>
      <c r="U160" s="6">
        <v>4.5199999999999996</v>
      </c>
      <c r="V160" s="6">
        <v>3</v>
      </c>
      <c r="W160" s="6">
        <v>0</v>
      </c>
      <c r="X160" s="7">
        <v>41690</v>
      </c>
      <c r="Y160" s="6">
        <v>0</v>
      </c>
      <c r="Z160" s="8">
        <v>20</v>
      </c>
      <c r="AA160" s="9">
        <f>DATEDIF(Table1[[#This Row],[DateofBirth]],"1-1-2020","y")</f>
        <v>40</v>
      </c>
      <c r="AB160" s="10" t="str" cm="1">
        <f t="array" ref="AB160">_xlfn.IFS(Table1[[#This Row],[age]]&lt; 20,"&lt;20",Table1[[#This Row],[age]]&lt; 30,"21-30",Table1[[#This Row],[age]]&lt; 40,"31-40", Table1[[#This Row],[age]]&lt; 50,"41-50",Table1[[#This Row],[age]]&lt; 60,"51-60",Table1[[#This Row],[age]]&lt;70,"60+")</f>
        <v>41-50</v>
      </c>
    </row>
    <row r="161" spans="1:28" ht="13.5" customHeight="1">
      <c r="A161" s="5" t="s">
        <v>304</v>
      </c>
      <c r="B161" s="6">
        <v>10052</v>
      </c>
      <c r="C161" s="6">
        <v>46120</v>
      </c>
      <c r="D161" s="6" t="s">
        <v>29</v>
      </c>
      <c r="E161" s="6" t="s">
        <v>30</v>
      </c>
      <c r="F161" s="6">
        <v>2048</v>
      </c>
      <c r="G161" s="7">
        <v>31667</v>
      </c>
      <c r="H161" s="6" t="s">
        <v>31</v>
      </c>
      <c r="I161" s="6" t="s">
        <v>44</v>
      </c>
      <c r="J161" s="6" t="s">
        <v>33</v>
      </c>
      <c r="K161" s="6" t="s">
        <v>34</v>
      </c>
      <c r="L161" s="6" t="s">
        <v>35</v>
      </c>
      <c r="M161" s="7">
        <v>41159</v>
      </c>
      <c r="N161" s="7">
        <v>32874</v>
      </c>
      <c r="O161" s="6" t="s">
        <v>36</v>
      </c>
      <c r="P161" s="6" t="s">
        <v>37</v>
      </c>
      <c r="Q161" s="6" t="s">
        <v>38</v>
      </c>
      <c r="R161" s="6" t="s">
        <v>83</v>
      </c>
      <c r="S161" s="6" t="s">
        <v>40</v>
      </c>
      <c r="T161" s="6" t="s">
        <v>50</v>
      </c>
      <c r="U161" s="6">
        <v>5</v>
      </c>
      <c r="V161" s="6">
        <v>5</v>
      </c>
      <c r="W161" s="6">
        <v>0</v>
      </c>
      <c r="X161" s="7">
        <v>43557</v>
      </c>
      <c r="Y161" s="6">
        <v>0</v>
      </c>
      <c r="Z161" s="8">
        <v>13</v>
      </c>
      <c r="AA161" s="9">
        <f>DATEDIF(Table1[[#This Row],[DateofBirth]],"1-1-2020","y")</f>
        <v>33</v>
      </c>
      <c r="AB161" s="10" t="str" cm="1">
        <f t="array" ref="AB161">_xlfn.IFS(Table1[[#This Row],[age]]&lt; 20,"&lt;20",Table1[[#This Row],[age]]&lt; 30,"21-30",Table1[[#This Row],[age]]&lt; 40,"31-40", Table1[[#This Row],[age]]&lt; 50,"41-50",Table1[[#This Row],[age]]&lt; 60,"51-60",Table1[[#This Row],[age]]&lt;70,"60+")</f>
        <v>31-40</v>
      </c>
    </row>
    <row r="162" spans="1:28" ht="13.5" customHeight="1">
      <c r="A162" s="5" t="s">
        <v>305</v>
      </c>
      <c r="B162" s="6">
        <v>10038</v>
      </c>
      <c r="C162" s="6">
        <v>64520</v>
      </c>
      <c r="D162" s="6" t="s">
        <v>126</v>
      </c>
      <c r="E162" s="6" t="s">
        <v>30</v>
      </c>
      <c r="F162" s="6">
        <v>1460</v>
      </c>
      <c r="G162" s="7">
        <v>30798</v>
      </c>
      <c r="H162" s="6" t="s">
        <v>31</v>
      </c>
      <c r="I162" s="6" t="s">
        <v>59</v>
      </c>
      <c r="J162" s="6" t="s">
        <v>33</v>
      </c>
      <c r="K162" s="6" t="s">
        <v>34</v>
      </c>
      <c r="L162" s="6" t="s">
        <v>74</v>
      </c>
      <c r="M162" s="7">
        <v>41791</v>
      </c>
      <c r="N162" s="7">
        <v>32874</v>
      </c>
      <c r="O162" s="6" t="s">
        <v>36</v>
      </c>
      <c r="P162" s="6" t="s">
        <v>37</v>
      </c>
      <c r="Q162" s="6" t="s">
        <v>118</v>
      </c>
      <c r="R162" s="6" t="s">
        <v>119</v>
      </c>
      <c r="S162" s="6" t="s">
        <v>193</v>
      </c>
      <c r="T162" s="6" t="s">
        <v>50</v>
      </c>
      <c r="U162" s="6">
        <v>5</v>
      </c>
      <c r="V162" s="6">
        <v>4</v>
      </c>
      <c r="W162" s="6">
        <v>4</v>
      </c>
      <c r="X162" s="7">
        <v>43482</v>
      </c>
      <c r="Y162" s="6">
        <v>0</v>
      </c>
      <c r="Z162" s="8">
        <v>3</v>
      </c>
      <c r="AA162" s="9">
        <f>DATEDIF(Table1[[#This Row],[DateofBirth]],"1-1-2020","y")</f>
        <v>35</v>
      </c>
      <c r="AB162" s="10" t="str" cm="1">
        <f t="array" ref="AB162">_xlfn.IFS(Table1[[#This Row],[age]]&lt; 20,"&lt;20",Table1[[#This Row],[age]]&lt; 30,"21-30",Table1[[#This Row],[age]]&lt; 40,"31-40", Table1[[#This Row],[age]]&lt; 50,"41-50",Table1[[#This Row],[age]]&lt; 60,"51-60",Table1[[#This Row],[age]]&lt;70,"60+")</f>
        <v>31-40</v>
      </c>
    </row>
    <row r="163" spans="1:28" ht="13.5" customHeight="1">
      <c r="A163" s="5" t="s">
        <v>306</v>
      </c>
      <c r="B163" s="6">
        <v>10249</v>
      </c>
      <c r="C163" s="6">
        <v>61962</v>
      </c>
      <c r="D163" s="6" t="s">
        <v>52</v>
      </c>
      <c r="E163" s="6" t="s">
        <v>30</v>
      </c>
      <c r="F163" s="6">
        <v>2126</v>
      </c>
      <c r="G163" s="7">
        <v>30930</v>
      </c>
      <c r="H163" s="6" t="s">
        <v>31</v>
      </c>
      <c r="I163" s="6" t="s">
        <v>44</v>
      </c>
      <c r="J163" s="6" t="s">
        <v>33</v>
      </c>
      <c r="K163" s="6" t="s">
        <v>34</v>
      </c>
      <c r="L163" s="6" t="s">
        <v>35</v>
      </c>
      <c r="M163" s="7">
        <v>40943</v>
      </c>
      <c r="N163" s="7">
        <v>41379</v>
      </c>
      <c r="O163" s="6" t="s">
        <v>185</v>
      </c>
      <c r="P163" s="6" t="s">
        <v>46</v>
      </c>
      <c r="Q163" s="6" t="s">
        <v>38</v>
      </c>
      <c r="R163" s="6" t="s">
        <v>55</v>
      </c>
      <c r="S163" s="6" t="s">
        <v>62</v>
      </c>
      <c r="T163" s="6" t="s">
        <v>50</v>
      </c>
      <c r="U163" s="6">
        <v>4.9000000000000004</v>
      </c>
      <c r="V163" s="6">
        <v>3</v>
      </c>
      <c r="W163" s="6">
        <v>0</v>
      </c>
      <c r="X163" s="7">
        <v>41325</v>
      </c>
      <c r="Y163" s="6">
        <v>0</v>
      </c>
      <c r="Z163" s="8">
        <v>20</v>
      </c>
      <c r="AA163" s="9">
        <f>DATEDIF(Table1[[#This Row],[DateofBirth]],"1-1-2020","y")</f>
        <v>35</v>
      </c>
      <c r="AB163" s="10" t="str" cm="1">
        <f t="array" ref="AB163">_xlfn.IFS(Table1[[#This Row],[age]]&lt; 20,"&lt;20",Table1[[#This Row],[age]]&lt; 30,"21-30",Table1[[#This Row],[age]]&lt; 40,"31-40", Table1[[#This Row],[age]]&lt; 50,"41-50",Table1[[#This Row],[age]]&lt; 60,"51-60",Table1[[#This Row],[age]]&lt;70,"60+")</f>
        <v>31-40</v>
      </c>
    </row>
    <row r="164" spans="1:28" ht="13.5" customHeight="1">
      <c r="A164" s="5" t="s">
        <v>307</v>
      </c>
      <c r="B164" s="6">
        <v>10232</v>
      </c>
      <c r="C164" s="6">
        <v>81584</v>
      </c>
      <c r="D164" s="6" t="s">
        <v>308</v>
      </c>
      <c r="E164" s="6" t="s">
        <v>30</v>
      </c>
      <c r="F164" s="6">
        <v>1886</v>
      </c>
      <c r="G164" s="7">
        <v>31942</v>
      </c>
      <c r="H164" s="6" t="s">
        <v>53</v>
      </c>
      <c r="I164" s="6" t="s">
        <v>32</v>
      </c>
      <c r="J164" s="6" t="s">
        <v>33</v>
      </c>
      <c r="K164" s="6" t="s">
        <v>34</v>
      </c>
      <c r="L164" s="6" t="s">
        <v>104</v>
      </c>
      <c r="M164" s="7">
        <v>42410</v>
      </c>
      <c r="N164" s="7">
        <v>32874</v>
      </c>
      <c r="O164" s="6" t="s">
        <v>36</v>
      </c>
      <c r="P164" s="6" t="s">
        <v>37</v>
      </c>
      <c r="Q164" s="6" t="s">
        <v>47</v>
      </c>
      <c r="R164" s="6" t="s">
        <v>189</v>
      </c>
      <c r="S164" s="6" t="s">
        <v>49</v>
      </c>
      <c r="T164" s="6" t="s">
        <v>50</v>
      </c>
      <c r="U164" s="6">
        <v>4.0999999999999996</v>
      </c>
      <c r="V164" s="6">
        <v>5</v>
      </c>
      <c r="W164" s="6">
        <v>7</v>
      </c>
      <c r="X164" s="7">
        <v>43678</v>
      </c>
      <c r="Y164" s="6">
        <v>0</v>
      </c>
      <c r="Z164" s="8">
        <v>2</v>
      </c>
      <c r="AA164" s="9">
        <f>DATEDIF(Table1[[#This Row],[DateofBirth]],"1-1-2020","y")</f>
        <v>32</v>
      </c>
      <c r="AB164" s="10" t="str" cm="1">
        <f t="array" ref="AB164">_xlfn.IFS(Table1[[#This Row],[age]]&lt; 20,"&lt;20",Table1[[#This Row],[age]]&lt; 30,"21-30",Table1[[#This Row],[age]]&lt; 40,"31-40", Table1[[#This Row],[age]]&lt; 50,"41-50",Table1[[#This Row],[age]]&lt; 60,"51-60",Table1[[#This Row],[age]]&lt;70,"60+")</f>
        <v>31-40</v>
      </c>
    </row>
    <row r="165" spans="1:28" ht="13.5" customHeight="1">
      <c r="A165" s="5" t="s">
        <v>309</v>
      </c>
      <c r="B165" s="6">
        <v>10087</v>
      </c>
      <c r="C165" s="6">
        <v>63676</v>
      </c>
      <c r="D165" s="6" t="s">
        <v>29</v>
      </c>
      <c r="E165" s="6" t="s">
        <v>30</v>
      </c>
      <c r="F165" s="6">
        <v>1810</v>
      </c>
      <c r="G165" s="7">
        <v>28872</v>
      </c>
      <c r="H165" s="6" t="s">
        <v>53</v>
      </c>
      <c r="I165" s="6" t="s">
        <v>32</v>
      </c>
      <c r="J165" s="6" t="s">
        <v>33</v>
      </c>
      <c r="K165" s="6" t="s">
        <v>34</v>
      </c>
      <c r="L165" s="6" t="s">
        <v>104</v>
      </c>
      <c r="M165" s="7">
        <v>40812</v>
      </c>
      <c r="N165" s="7">
        <v>43331</v>
      </c>
      <c r="O165" s="6" t="s">
        <v>60</v>
      </c>
      <c r="P165" s="6" t="s">
        <v>46</v>
      </c>
      <c r="Q165" s="6" t="s">
        <v>38</v>
      </c>
      <c r="R165" s="6" t="s">
        <v>55</v>
      </c>
      <c r="S165" s="6" t="s">
        <v>109</v>
      </c>
      <c r="T165" s="6" t="s">
        <v>50</v>
      </c>
      <c r="U165" s="6">
        <v>4.88</v>
      </c>
      <c r="V165" s="6">
        <v>3</v>
      </c>
      <c r="W165" s="6">
        <v>0</v>
      </c>
      <c r="X165" s="7">
        <v>42773</v>
      </c>
      <c r="Y165" s="6">
        <v>0</v>
      </c>
      <c r="Z165" s="8">
        <v>17</v>
      </c>
      <c r="AA165" s="9">
        <f>DATEDIF(Table1[[#This Row],[DateofBirth]],"1-1-2020","y")</f>
        <v>40</v>
      </c>
      <c r="AB165" s="10" t="str" cm="1">
        <f t="array" ref="AB165">_xlfn.IFS(Table1[[#This Row],[age]]&lt; 20,"&lt;20",Table1[[#This Row],[age]]&lt; 30,"21-30",Table1[[#This Row],[age]]&lt; 40,"31-40", Table1[[#This Row],[age]]&lt; 50,"41-50",Table1[[#This Row],[age]]&lt; 60,"51-60",Table1[[#This Row],[age]]&lt;70,"60+")</f>
        <v>41-50</v>
      </c>
    </row>
    <row r="166" spans="1:28" ht="13.5" customHeight="1">
      <c r="A166" s="5" t="s">
        <v>310</v>
      </c>
      <c r="B166" s="6">
        <v>10134</v>
      </c>
      <c r="C166" s="6">
        <v>93046</v>
      </c>
      <c r="D166" s="6" t="s">
        <v>311</v>
      </c>
      <c r="E166" s="6" t="s">
        <v>30</v>
      </c>
      <c r="F166" s="6">
        <v>1460</v>
      </c>
      <c r="G166" s="7">
        <v>30961</v>
      </c>
      <c r="H166" s="6" t="s">
        <v>31</v>
      </c>
      <c r="I166" s="6" t="s">
        <v>44</v>
      </c>
      <c r="J166" s="6" t="s">
        <v>33</v>
      </c>
      <c r="K166" s="6" t="s">
        <v>34</v>
      </c>
      <c r="L166" s="6" t="s">
        <v>35</v>
      </c>
      <c r="M166" s="7">
        <v>42491</v>
      </c>
      <c r="N166" s="7">
        <v>32874</v>
      </c>
      <c r="O166" s="6" t="s">
        <v>36</v>
      </c>
      <c r="P166" s="6" t="s">
        <v>37</v>
      </c>
      <c r="Q166" s="6" t="s">
        <v>118</v>
      </c>
      <c r="R166" s="6" t="s">
        <v>123</v>
      </c>
      <c r="S166" s="6" t="s">
        <v>109</v>
      </c>
      <c r="T166" s="6" t="s">
        <v>50</v>
      </c>
      <c r="U166" s="6">
        <v>4.0999999999999996</v>
      </c>
      <c r="V166" s="6">
        <v>4</v>
      </c>
      <c r="W166" s="6">
        <v>0</v>
      </c>
      <c r="X166" s="7">
        <v>43493</v>
      </c>
      <c r="Y166" s="6">
        <v>0</v>
      </c>
      <c r="Z166" s="8">
        <v>20</v>
      </c>
      <c r="AA166" s="9">
        <f>DATEDIF(Table1[[#This Row],[DateofBirth]],"1-1-2020","y")</f>
        <v>35</v>
      </c>
      <c r="AB166" s="10" t="str" cm="1">
        <f t="array" ref="AB166">_xlfn.IFS(Table1[[#This Row],[age]]&lt; 20,"&lt;20",Table1[[#This Row],[age]]&lt; 30,"21-30",Table1[[#This Row],[age]]&lt; 40,"31-40", Table1[[#This Row],[age]]&lt; 50,"41-50",Table1[[#This Row],[age]]&lt; 60,"51-60",Table1[[#This Row],[age]]&lt;70,"60+")</f>
        <v>31-40</v>
      </c>
    </row>
    <row r="167" spans="1:28" ht="13.5" customHeight="1">
      <c r="A167" s="5" t="s">
        <v>312</v>
      </c>
      <c r="B167" s="6">
        <v>10251</v>
      </c>
      <c r="C167" s="6">
        <v>64738</v>
      </c>
      <c r="D167" s="6" t="s">
        <v>29</v>
      </c>
      <c r="E167" s="6" t="s">
        <v>30</v>
      </c>
      <c r="F167" s="6">
        <v>1776</v>
      </c>
      <c r="G167" s="7">
        <v>29991</v>
      </c>
      <c r="H167" s="6" t="s">
        <v>31</v>
      </c>
      <c r="I167" s="6" t="s">
        <v>44</v>
      </c>
      <c r="J167" s="6" t="s">
        <v>33</v>
      </c>
      <c r="K167" s="6" t="s">
        <v>34</v>
      </c>
      <c r="L167" s="6" t="s">
        <v>104</v>
      </c>
      <c r="M167" s="7">
        <v>41043</v>
      </c>
      <c r="N167" s="7">
        <v>32874</v>
      </c>
      <c r="O167" s="6" t="s">
        <v>36</v>
      </c>
      <c r="P167" s="6" t="s">
        <v>37</v>
      </c>
      <c r="Q167" s="6" t="s">
        <v>38</v>
      </c>
      <c r="R167" s="6" t="s">
        <v>57</v>
      </c>
      <c r="S167" s="6" t="s">
        <v>62</v>
      </c>
      <c r="T167" s="6" t="s">
        <v>50</v>
      </c>
      <c r="U167" s="6">
        <v>4.0999999999999996</v>
      </c>
      <c r="V167" s="6">
        <v>3</v>
      </c>
      <c r="W167" s="6">
        <v>0</v>
      </c>
      <c r="X167" s="7">
        <v>43518</v>
      </c>
      <c r="Y167" s="6">
        <v>0</v>
      </c>
      <c r="Z167" s="8">
        <v>10</v>
      </c>
      <c r="AA167" s="9">
        <f>DATEDIF(Table1[[#This Row],[DateofBirth]],"1-1-2020","y")</f>
        <v>37</v>
      </c>
      <c r="AB167" s="10" t="str" cm="1">
        <f t="array" ref="AB167">_xlfn.IFS(Table1[[#This Row],[age]]&lt; 20,"&lt;20",Table1[[#This Row],[age]]&lt; 30,"21-30",Table1[[#This Row],[age]]&lt; 40,"31-40", Table1[[#This Row],[age]]&lt; 50,"41-50",Table1[[#This Row],[age]]&lt; 60,"51-60",Table1[[#This Row],[age]]&lt;70,"60+")</f>
        <v>31-40</v>
      </c>
    </row>
    <row r="168" spans="1:28" ht="13.5" customHeight="1">
      <c r="A168" s="5" t="s">
        <v>313</v>
      </c>
      <c r="B168" s="6">
        <v>10103</v>
      </c>
      <c r="C168" s="6">
        <v>70468</v>
      </c>
      <c r="D168" s="6" t="s">
        <v>131</v>
      </c>
      <c r="E168" s="6" t="s">
        <v>314</v>
      </c>
      <c r="F168" s="6">
        <v>84111</v>
      </c>
      <c r="G168" s="7">
        <v>32504</v>
      </c>
      <c r="H168" s="6" t="s">
        <v>31</v>
      </c>
      <c r="I168" s="6" t="s">
        <v>129</v>
      </c>
      <c r="J168" s="6" t="s">
        <v>33</v>
      </c>
      <c r="K168" s="6" t="s">
        <v>34</v>
      </c>
      <c r="L168" s="6" t="s">
        <v>74</v>
      </c>
      <c r="M168" s="7">
        <v>41029</v>
      </c>
      <c r="N168" s="7">
        <v>32874</v>
      </c>
      <c r="O168" s="6" t="s">
        <v>36</v>
      </c>
      <c r="P168" s="6" t="s">
        <v>37</v>
      </c>
      <c r="Q168" s="6" t="s">
        <v>133</v>
      </c>
      <c r="R168" s="6" t="s">
        <v>134</v>
      </c>
      <c r="S168" s="6" t="s">
        <v>193</v>
      </c>
      <c r="T168" s="6" t="s">
        <v>50</v>
      </c>
      <c r="U168" s="6">
        <v>4.53</v>
      </c>
      <c r="V168" s="6">
        <v>3</v>
      </c>
      <c r="W168" s="6">
        <v>0</v>
      </c>
      <c r="X168" s="7">
        <v>43494</v>
      </c>
      <c r="Y168" s="6">
        <v>0</v>
      </c>
      <c r="Z168" s="8">
        <v>16</v>
      </c>
      <c r="AA168" s="9">
        <f>DATEDIF(Table1[[#This Row],[DateofBirth]],"1-1-2020","y")</f>
        <v>31</v>
      </c>
      <c r="AB168" s="10" t="str" cm="1">
        <f t="array" ref="AB168">_xlfn.IFS(Table1[[#This Row],[age]]&lt; 20,"&lt;20",Table1[[#This Row],[age]]&lt; 30,"21-30",Table1[[#This Row],[age]]&lt; 40,"31-40", Table1[[#This Row],[age]]&lt; 50,"41-50",Table1[[#This Row],[age]]&lt; 60,"51-60",Table1[[#This Row],[age]]&lt;70,"60+")</f>
        <v>31-40</v>
      </c>
    </row>
    <row r="169" spans="1:28" ht="13.5" customHeight="1">
      <c r="A169" s="5" t="s">
        <v>315</v>
      </c>
      <c r="B169" s="6">
        <v>10017</v>
      </c>
      <c r="C169" s="6">
        <v>77915</v>
      </c>
      <c r="D169" s="6" t="s">
        <v>121</v>
      </c>
      <c r="E169" s="6" t="s">
        <v>30</v>
      </c>
      <c r="F169" s="6">
        <v>2110</v>
      </c>
      <c r="G169" s="7">
        <v>29885</v>
      </c>
      <c r="H169" s="6" t="s">
        <v>53</v>
      </c>
      <c r="I169" s="6" t="s">
        <v>44</v>
      </c>
      <c r="J169" s="6" t="s">
        <v>33</v>
      </c>
      <c r="K169" s="6" t="s">
        <v>34</v>
      </c>
      <c r="L169" s="6" t="s">
        <v>35</v>
      </c>
      <c r="M169" s="7">
        <v>41547</v>
      </c>
      <c r="N169" s="7">
        <v>32874</v>
      </c>
      <c r="O169" s="6" t="s">
        <v>36</v>
      </c>
      <c r="P169" s="6" t="s">
        <v>37</v>
      </c>
      <c r="Q169" s="6" t="s">
        <v>38</v>
      </c>
      <c r="R169" s="6" t="s">
        <v>123</v>
      </c>
      <c r="S169" s="6" t="s">
        <v>193</v>
      </c>
      <c r="T169" s="6" t="s">
        <v>41</v>
      </c>
      <c r="U169" s="6">
        <v>4.0999999999999996</v>
      </c>
      <c r="V169" s="6">
        <v>3</v>
      </c>
      <c r="W169" s="6">
        <v>0</v>
      </c>
      <c r="X169" s="7">
        <v>43486</v>
      </c>
      <c r="Y169" s="6">
        <v>0</v>
      </c>
      <c r="Z169" s="8">
        <v>11</v>
      </c>
      <c r="AA169" s="9">
        <f>DATEDIF(Table1[[#This Row],[DateofBirth]],"1-1-2020","y")</f>
        <v>38</v>
      </c>
      <c r="AB169" s="10" t="str" cm="1">
        <f t="array" ref="AB169">_xlfn.IFS(Table1[[#This Row],[age]]&lt; 20,"&lt;20",Table1[[#This Row],[age]]&lt; 30,"21-30",Table1[[#This Row],[age]]&lt; 40,"31-40", Table1[[#This Row],[age]]&lt; 50,"41-50",Table1[[#This Row],[age]]&lt; 60,"51-60",Table1[[#This Row],[age]]&lt;70,"60+")</f>
        <v>31-40</v>
      </c>
    </row>
    <row r="170" spans="1:28" ht="13.5" customHeight="1">
      <c r="A170" s="5" t="s">
        <v>316</v>
      </c>
      <c r="B170" s="6">
        <v>10186</v>
      </c>
      <c r="C170" s="6">
        <v>52624</v>
      </c>
      <c r="D170" s="6" t="s">
        <v>29</v>
      </c>
      <c r="E170" s="6" t="s">
        <v>30</v>
      </c>
      <c r="F170" s="6">
        <v>1886</v>
      </c>
      <c r="G170" s="7">
        <v>29671</v>
      </c>
      <c r="H170" s="6" t="s">
        <v>53</v>
      </c>
      <c r="I170" s="6" t="s">
        <v>44</v>
      </c>
      <c r="J170" s="6" t="s">
        <v>33</v>
      </c>
      <c r="K170" s="6" t="s">
        <v>34</v>
      </c>
      <c r="L170" s="6" t="s">
        <v>35</v>
      </c>
      <c r="M170" s="7">
        <v>40670</v>
      </c>
      <c r="N170" s="7">
        <v>43369</v>
      </c>
      <c r="O170" s="6" t="s">
        <v>85</v>
      </c>
      <c r="P170" s="6" t="s">
        <v>46</v>
      </c>
      <c r="Q170" s="6" t="s">
        <v>38</v>
      </c>
      <c r="R170" s="6" t="s">
        <v>39</v>
      </c>
      <c r="S170" s="6" t="s">
        <v>49</v>
      </c>
      <c r="T170" s="6" t="s">
        <v>50</v>
      </c>
      <c r="U170" s="6">
        <v>3.18</v>
      </c>
      <c r="V170" s="6">
        <v>4</v>
      </c>
      <c r="W170" s="6">
        <v>0</v>
      </c>
      <c r="X170" s="7">
        <v>43134</v>
      </c>
      <c r="Y170" s="6">
        <v>0</v>
      </c>
      <c r="Z170" s="8">
        <v>16</v>
      </c>
      <c r="AA170" s="9">
        <f>DATEDIF(Table1[[#This Row],[DateofBirth]],"1-1-2020","y")</f>
        <v>38</v>
      </c>
      <c r="AB170" s="10" t="str" cm="1">
        <f t="array" ref="AB170">_xlfn.IFS(Table1[[#This Row],[age]]&lt; 20,"&lt;20",Table1[[#This Row],[age]]&lt; 30,"21-30",Table1[[#This Row],[age]]&lt; 40,"31-40", Table1[[#This Row],[age]]&lt; 50,"41-50",Table1[[#This Row],[age]]&lt; 60,"51-60",Table1[[#This Row],[age]]&lt;70,"60+")</f>
        <v>31-40</v>
      </c>
    </row>
    <row r="171" spans="1:28" ht="13.5" customHeight="1">
      <c r="A171" s="5" t="s">
        <v>317</v>
      </c>
      <c r="B171" s="6">
        <v>10137</v>
      </c>
      <c r="C171" s="6">
        <v>63450</v>
      </c>
      <c r="D171" s="6" t="s">
        <v>52</v>
      </c>
      <c r="E171" s="6" t="s">
        <v>30</v>
      </c>
      <c r="F171" s="6">
        <v>1770</v>
      </c>
      <c r="G171" s="7">
        <v>28933</v>
      </c>
      <c r="H171" s="6" t="s">
        <v>31</v>
      </c>
      <c r="I171" s="6" t="s">
        <v>44</v>
      </c>
      <c r="J171" s="6" t="s">
        <v>33</v>
      </c>
      <c r="K171" s="6" t="s">
        <v>34</v>
      </c>
      <c r="L171" s="6" t="s">
        <v>35</v>
      </c>
      <c r="M171" s="7">
        <v>41493</v>
      </c>
      <c r="N171" s="7">
        <v>32874</v>
      </c>
      <c r="O171" s="6" t="s">
        <v>36</v>
      </c>
      <c r="P171" s="6" t="s">
        <v>37</v>
      </c>
      <c r="Q171" s="6" t="s">
        <v>38</v>
      </c>
      <c r="R171" s="6" t="s">
        <v>91</v>
      </c>
      <c r="S171" s="6" t="s">
        <v>40</v>
      </c>
      <c r="T171" s="6" t="s">
        <v>50</v>
      </c>
      <c r="U171" s="6">
        <v>4</v>
      </c>
      <c r="V171" s="6">
        <v>3</v>
      </c>
      <c r="W171" s="6">
        <v>0</v>
      </c>
      <c r="X171" s="7">
        <v>43514</v>
      </c>
      <c r="Y171" s="6">
        <v>0</v>
      </c>
      <c r="Z171" s="8">
        <v>7</v>
      </c>
      <c r="AA171" s="9">
        <f>DATEDIF(Table1[[#This Row],[DateofBirth]],"1-1-2020","y")</f>
        <v>40</v>
      </c>
      <c r="AB171" s="10" t="str" cm="1">
        <f t="array" ref="AB171">_xlfn.IFS(Table1[[#This Row],[age]]&lt; 20,"&lt;20",Table1[[#This Row],[age]]&lt; 30,"21-30",Table1[[#This Row],[age]]&lt; 40,"31-40", Table1[[#This Row],[age]]&lt; 50,"41-50",Table1[[#This Row],[age]]&lt; 60,"51-60",Table1[[#This Row],[age]]&lt;70,"60+")</f>
        <v>41-50</v>
      </c>
    </row>
    <row r="172" spans="1:28" ht="13.5" customHeight="1">
      <c r="A172" s="5" t="s">
        <v>318</v>
      </c>
      <c r="B172" s="6">
        <v>10008</v>
      </c>
      <c r="C172" s="6">
        <v>51777</v>
      </c>
      <c r="D172" s="6" t="s">
        <v>78</v>
      </c>
      <c r="E172" s="6" t="s">
        <v>114</v>
      </c>
      <c r="F172" s="6">
        <v>6070</v>
      </c>
      <c r="G172" s="7">
        <v>32273</v>
      </c>
      <c r="H172" s="6" t="s">
        <v>53</v>
      </c>
      <c r="I172" s="6" t="s">
        <v>32</v>
      </c>
      <c r="J172" s="6" t="s">
        <v>33</v>
      </c>
      <c r="K172" s="6" t="s">
        <v>81</v>
      </c>
      <c r="L172" s="6" t="s">
        <v>74</v>
      </c>
      <c r="M172" s="7">
        <v>40564</v>
      </c>
      <c r="N172" s="7">
        <v>32874</v>
      </c>
      <c r="O172" s="6" t="s">
        <v>36</v>
      </c>
      <c r="P172" s="6" t="s">
        <v>37</v>
      </c>
      <c r="Q172" s="6" t="s">
        <v>47</v>
      </c>
      <c r="R172" s="6" t="s">
        <v>158</v>
      </c>
      <c r="S172" s="6" t="s">
        <v>76</v>
      </c>
      <c r="T172" s="6" t="s">
        <v>41</v>
      </c>
      <c r="U172" s="6">
        <v>4.6399999999999997</v>
      </c>
      <c r="V172" s="6">
        <v>4</v>
      </c>
      <c r="W172" s="6">
        <v>5</v>
      </c>
      <c r="X172" s="7">
        <v>43490</v>
      </c>
      <c r="Y172" s="6">
        <v>0</v>
      </c>
      <c r="Z172" s="8">
        <v>14</v>
      </c>
      <c r="AA172" s="9">
        <f>DATEDIF(Table1[[#This Row],[DateofBirth]],"1-1-2020","y")</f>
        <v>31</v>
      </c>
      <c r="AB172" s="10" t="str" cm="1">
        <f t="array" ref="AB172">_xlfn.IFS(Table1[[#This Row],[age]]&lt; 20,"&lt;20",Table1[[#This Row],[age]]&lt; 30,"21-30",Table1[[#This Row],[age]]&lt; 40,"31-40", Table1[[#This Row],[age]]&lt; 50,"41-50",Table1[[#This Row],[age]]&lt; 60,"51-60",Table1[[#This Row],[age]]&lt;70,"60+")</f>
        <v>31-40</v>
      </c>
    </row>
    <row r="173" spans="1:28" ht="13.5" customHeight="1">
      <c r="A173" s="5" t="s">
        <v>319</v>
      </c>
      <c r="B173" s="6">
        <v>10096</v>
      </c>
      <c r="C173" s="6">
        <v>67237</v>
      </c>
      <c r="D173" s="6" t="s">
        <v>52</v>
      </c>
      <c r="E173" s="6" t="s">
        <v>30</v>
      </c>
      <c r="F173" s="6">
        <v>2122</v>
      </c>
      <c r="G173" s="7">
        <v>28120</v>
      </c>
      <c r="H173" s="6" t="s">
        <v>53</v>
      </c>
      <c r="I173" s="6" t="s">
        <v>70</v>
      </c>
      <c r="J173" s="6" t="s">
        <v>33</v>
      </c>
      <c r="K173" s="6" t="s">
        <v>34</v>
      </c>
      <c r="L173" s="6" t="s">
        <v>35</v>
      </c>
      <c r="M173" s="7">
        <v>41493</v>
      </c>
      <c r="N173" s="7">
        <v>42628</v>
      </c>
      <c r="O173" s="6" t="s">
        <v>185</v>
      </c>
      <c r="P173" s="6" t="s">
        <v>46</v>
      </c>
      <c r="Q173" s="6" t="s">
        <v>38</v>
      </c>
      <c r="R173" s="6" t="s">
        <v>39</v>
      </c>
      <c r="S173" s="6" t="s">
        <v>40</v>
      </c>
      <c r="T173" s="6" t="s">
        <v>50</v>
      </c>
      <c r="U173" s="6">
        <v>4.6500000000000004</v>
      </c>
      <c r="V173" s="6">
        <v>4</v>
      </c>
      <c r="W173" s="6">
        <v>0</v>
      </c>
      <c r="X173" s="7">
        <v>42649</v>
      </c>
      <c r="Y173" s="6">
        <v>0</v>
      </c>
      <c r="Z173" s="8">
        <v>15</v>
      </c>
      <c r="AA173" s="9">
        <f>DATEDIF(Table1[[#This Row],[DateofBirth]],"1-1-2020","y")</f>
        <v>43</v>
      </c>
      <c r="AB173" s="10" t="str" cm="1">
        <f t="array" ref="AB173">_xlfn.IFS(Table1[[#This Row],[age]]&lt; 20,"&lt;20",Table1[[#This Row],[age]]&lt; 30,"21-30",Table1[[#This Row],[age]]&lt; 40,"31-40", Table1[[#This Row],[age]]&lt; 50,"41-50",Table1[[#This Row],[age]]&lt; 60,"51-60",Table1[[#This Row],[age]]&lt;70,"60+")</f>
        <v>41-50</v>
      </c>
    </row>
    <row r="174" spans="1:28" ht="13.5" customHeight="1">
      <c r="A174" s="5" t="s">
        <v>320</v>
      </c>
      <c r="B174" s="6">
        <v>10035</v>
      </c>
      <c r="C174" s="6">
        <v>73330</v>
      </c>
      <c r="D174" s="6" t="s">
        <v>52</v>
      </c>
      <c r="E174" s="6" t="s">
        <v>30</v>
      </c>
      <c r="F174" s="6">
        <v>2324</v>
      </c>
      <c r="G174" s="7">
        <v>30038</v>
      </c>
      <c r="H174" s="6" t="s">
        <v>53</v>
      </c>
      <c r="I174" s="6" t="s">
        <v>32</v>
      </c>
      <c r="J174" s="6" t="s">
        <v>33</v>
      </c>
      <c r="K174" s="6" t="s">
        <v>34</v>
      </c>
      <c r="L174" s="6" t="s">
        <v>74</v>
      </c>
      <c r="M174" s="7">
        <v>41505</v>
      </c>
      <c r="N174" s="7">
        <v>32874</v>
      </c>
      <c r="O174" s="6" t="s">
        <v>36</v>
      </c>
      <c r="P174" s="6" t="s">
        <v>37</v>
      </c>
      <c r="Q174" s="6" t="s">
        <v>38</v>
      </c>
      <c r="R174" s="6" t="s">
        <v>57</v>
      </c>
      <c r="S174" s="6" t="s">
        <v>49</v>
      </c>
      <c r="T174" s="6" t="s">
        <v>41</v>
      </c>
      <c r="U174" s="6">
        <v>4.2</v>
      </c>
      <c r="V174" s="6">
        <v>4</v>
      </c>
      <c r="W174" s="6">
        <v>0</v>
      </c>
      <c r="X174" s="7">
        <v>43801</v>
      </c>
      <c r="Y174" s="6">
        <v>0</v>
      </c>
      <c r="Z174" s="8">
        <v>19</v>
      </c>
      <c r="AA174" s="9">
        <f>DATEDIF(Table1[[#This Row],[DateofBirth]],"1-1-2020","y")</f>
        <v>37</v>
      </c>
      <c r="AB174" s="10" t="str" cm="1">
        <f t="array" ref="AB174">_xlfn.IFS(Table1[[#This Row],[age]]&lt; 20,"&lt;20",Table1[[#This Row],[age]]&lt; 30,"21-30",Table1[[#This Row],[age]]&lt; 40,"31-40", Table1[[#This Row],[age]]&lt; 50,"41-50",Table1[[#This Row],[age]]&lt; 60,"51-60",Table1[[#This Row],[age]]&lt;70,"60+")</f>
        <v>31-40</v>
      </c>
    </row>
    <row r="175" spans="1:28" ht="13.5" customHeight="1">
      <c r="A175" s="5" t="s">
        <v>321</v>
      </c>
      <c r="B175" s="6">
        <v>10057</v>
      </c>
      <c r="C175" s="6">
        <v>52057</v>
      </c>
      <c r="D175" s="6" t="s">
        <v>29</v>
      </c>
      <c r="E175" s="6" t="s">
        <v>30</v>
      </c>
      <c r="F175" s="6">
        <v>2122</v>
      </c>
      <c r="G175" s="7">
        <v>27689</v>
      </c>
      <c r="H175" s="6" t="s">
        <v>53</v>
      </c>
      <c r="I175" s="6" t="s">
        <v>44</v>
      </c>
      <c r="J175" s="6" t="s">
        <v>33</v>
      </c>
      <c r="K175" s="6" t="s">
        <v>34</v>
      </c>
      <c r="L175" s="6" t="s">
        <v>74</v>
      </c>
      <c r="M175" s="7">
        <v>42051</v>
      </c>
      <c r="N175" s="7">
        <v>32874</v>
      </c>
      <c r="O175" s="6" t="s">
        <v>36</v>
      </c>
      <c r="P175" s="6" t="s">
        <v>37</v>
      </c>
      <c r="Q175" s="6" t="s">
        <v>38</v>
      </c>
      <c r="R175" s="6" t="s">
        <v>57</v>
      </c>
      <c r="S175" s="6" t="s">
        <v>193</v>
      </c>
      <c r="T175" s="6" t="s">
        <v>50</v>
      </c>
      <c r="U175" s="6">
        <v>5</v>
      </c>
      <c r="V175" s="6">
        <v>3</v>
      </c>
      <c r="W175" s="6">
        <v>0</v>
      </c>
      <c r="X175" s="7">
        <v>43488</v>
      </c>
      <c r="Y175" s="6">
        <v>0</v>
      </c>
      <c r="Z175" s="8">
        <v>6</v>
      </c>
      <c r="AA175" s="9">
        <f>DATEDIF(Table1[[#This Row],[DateofBirth]],"1-1-2020","y")</f>
        <v>44</v>
      </c>
      <c r="AB175" s="10" t="str" cm="1">
        <f t="array" ref="AB175">_xlfn.IFS(Table1[[#This Row],[age]]&lt; 20,"&lt;20",Table1[[#This Row],[age]]&lt; 30,"21-30",Table1[[#This Row],[age]]&lt; 40,"31-40", Table1[[#This Row],[age]]&lt; 50,"41-50",Table1[[#This Row],[age]]&lt; 60,"51-60",Table1[[#This Row],[age]]&lt;70,"60+")</f>
        <v>41-50</v>
      </c>
    </row>
    <row r="176" spans="1:28" ht="13.5" customHeight="1">
      <c r="A176" s="5" t="s">
        <v>322</v>
      </c>
      <c r="B176" s="6">
        <v>10004</v>
      </c>
      <c r="C176" s="6">
        <v>47434</v>
      </c>
      <c r="D176" s="6" t="s">
        <v>29</v>
      </c>
      <c r="E176" s="6" t="s">
        <v>30</v>
      </c>
      <c r="F176" s="6">
        <v>1844</v>
      </c>
      <c r="G176" s="7">
        <v>26709</v>
      </c>
      <c r="H176" s="6" t="s">
        <v>53</v>
      </c>
      <c r="I176" s="6" t="s">
        <v>32</v>
      </c>
      <c r="J176" s="6" t="s">
        <v>33</v>
      </c>
      <c r="K176" s="6" t="s">
        <v>81</v>
      </c>
      <c r="L176" s="6" t="s">
        <v>74</v>
      </c>
      <c r="M176" s="7">
        <v>40735</v>
      </c>
      <c r="N176" s="7">
        <v>42322</v>
      </c>
      <c r="O176" s="6" t="s">
        <v>82</v>
      </c>
      <c r="P176" s="6" t="s">
        <v>46</v>
      </c>
      <c r="Q176" s="6" t="s">
        <v>38</v>
      </c>
      <c r="R176" s="6" t="s">
        <v>61</v>
      </c>
      <c r="S176" s="6" t="s">
        <v>76</v>
      </c>
      <c r="T176" s="6" t="s">
        <v>41</v>
      </c>
      <c r="U176" s="6">
        <v>5</v>
      </c>
      <c r="V176" s="6">
        <v>4</v>
      </c>
      <c r="W176" s="6">
        <v>0</v>
      </c>
      <c r="X176" s="7">
        <v>42037</v>
      </c>
      <c r="Y176" s="6">
        <v>0</v>
      </c>
      <c r="Z176" s="8">
        <v>17</v>
      </c>
      <c r="AA176" s="9">
        <f>DATEDIF(Table1[[#This Row],[DateofBirth]],"1-1-2020","y")</f>
        <v>46</v>
      </c>
      <c r="AB176" s="10" t="str" cm="1">
        <f t="array" ref="AB176">_xlfn.IFS(Table1[[#This Row],[age]]&lt; 20,"&lt;20",Table1[[#This Row],[age]]&lt; 30,"21-30",Table1[[#This Row],[age]]&lt; 40,"31-40", Table1[[#This Row],[age]]&lt; 50,"41-50",Table1[[#This Row],[age]]&lt; 60,"51-60",Table1[[#This Row],[age]]&lt;70,"60+")</f>
        <v>41-50</v>
      </c>
    </row>
    <row r="177" spans="1:28" ht="13.5" customHeight="1">
      <c r="A177" s="5" t="s">
        <v>323</v>
      </c>
      <c r="B177" s="6">
        <v>10191</v>
      </c>
      <c r="C177" s="6">
        <v>52788</v>
      </c>
      <c r="D177" s="6" t="s">
        <v>29</v>
      </c>
      <c r="E177" s="6" t="s">
        <v>30</v>
      </c>
      <c r="F177" s="6">
        <v>1938</v>
      </c>
      <c r="G177" s="7">
        <v>26553</v>
      </c>
      <c r="H177" s="6" t="s">
        <v>31</v>
      </c>
      <c r="I177" s="6" t="s">
        <v>70</v>
      </c>
      <c r="J177" s="6" t="s">
        <v>33</v>
      </c>
      <c r="K177" s="6" t="s">
        <v>34</v>
      </c>
      <c r="L177" s="6" t="s">
        <v>35</v>
      </c>
      <c r="M177" s="7">
        <v>41176</v>
      </c>
      <c r="N177" s="7">
        <v>43004</v>
      </c>
      <c r="O177" s="6" t="s">
        <v>54</v>
      </c>
      <c r="P177" s="6" t="s">
        <v>46</v>
      </c>
      <c r="Q177" s="6" t="s">
        <v>38</v>
      </c>
      <c r="R177" s="6" t="s">
        <v>64</v>
      </c>
      <c r="S177" s="6" t="s">
        <v>49</v>
      </c>
      <c r="T177" s="6" t="s">
        <v>50</v>
      </c>
      <c r="U177" s="6">
        <v>3.08</v>
      </c>
      <c r="V177" s="6">
        <v>4</v>
      </c>
      <c r="W177" s="6">
        <v>0</v>
      </c>
      <c r="X177" s="7">
        <v>42739</v>
      </c>
      <c r="Y177" s="6">
        <v>0</v>
      </c>
      <c r="Z177" s="8">
        <v>18</v>
      </c>
      <c r="AA177" s="9">
        <f>DATEDIF(Table1[[#This Row],[DateofBirth]],"1-1-2020","y")</f>
        <v>47</v>
      </c>
      <c r="AB177" s="10" t="str" cm="1">
        <f t="array" ref="AB177">_xlfn.IFS(Table1[[#This Row],[age]]&lt; 20,"&lt;20",Table1[[#This Row],[age]]&lt; 30,"21-30",Table1[[#This Row],[age]]&lt; 40,"31-40", Table1[[#This Row],[age]]&lt; 50,"41-50",Table1[[#This Row],[age]]&lt; 60,"51-60",Table1[[#This Row],[age]]&lt;70,"60+")</f>
        <v>41-50</v>
      </c>
    </row>
    <row r="178" spans="1:28" ht="13.5" customHeight="1">
      <c r="A178" s="5" t="s">
        <v>324</v>
      </c>
      <c r="B178" s="6">
        <v>10219</v>
      </c>
      <c r="C178" s="6">
        <v>45395</v>
      </c>
      <c r="D178" s="6" t="s">
        <v>29</v>
      </c>
      <c r="E178" s="6" t="s">
        <v>30</v>
      </c>
      <c r="F178" s="6">
        <v>2189</v>
      </c>
      <c r="G178" s="7">
        <v>31600</v>
      </c>
      <c r="H178" s="6" t="s">
        <v>53</v>
      </c>
      <c r="I178" s="6" t="s">
        <v>32</v>
      </c>
      <c r="J178" s="6" t="s">
        <v>33</v>
      </c>
      <c r="K178" s="6" t="s">
        <v>34</v>
      </c>
      <c r="L178" s="6" t="s">
        <v>35</v>
      </c>
      <c r="M178" s="7">
        <v>41791</v>
      </c>
      <c r="N178" s="7">
        <v>32874</v>
      </c>
      <c r="O178" s="6" t="s">
        <v>36</v>
      </c>
      <c r="P178" s="6" t="s">
        <v>37</v>
      </c>
      <c r="Q178" s="6" t="s">
        <v>38</v>
      </c>
      <c r="R178" s="6" t="s">
        <v>71</v>
      </c>
      <c r="S178" s="6" t="s">
        <v>40</v>
      </c>
      <c r="T178" s="6" t="s">
        <v>50</v>
      </c>
      <c r="U178" s="6">
        <v>4.5999999999999996</v>
      </c>
      <c r="V178" s="6">
        <v>4</v>
      </c>
      <c r="W178" s="6">
        <v>0</v>
      </c>
      <c r="X178" s="7">
        <v>43522</v>
      </c>
      <c r="Y178" s="6">
        <v>0</v>
      </c>
      <c r="Z178" s="8">
        <v>14</v>
      </c>
      <c r="AA178" s="9">
        <f>DATEDIF(Table1[[#This Row],[DateofBirth]],"1-1-2020","y")</f>
        <v>33</v>
      </c>
      <c r="AB178" s="10" t="str" cm="1">
        <f t="array" ref="AB178">_xlfn.IFS(Table1[[#This Row],[age]]&lt; 20,"&lt;20",Table1[[#This Row],[age]]&lt; 30,"21-30",Table1[[#This Row],[age]]&lt; 40,"31-40", Table1[[#This Row],[age]]&lt; 50,"41-50",Table1[[#This Row],[age]]&lt; 60,"51-60",Table1[[#This Row],[age]]&lt;70,"60+")</f>
        <v>31-40</v>
      </c>
    </row>
    <row r="179" spans="1:28" ht="13.5" customHeight="1">
      <c r="A179" s="5" t="s">
        <v>325</v>
      </c>
      <c r="B179" s="6">
        <v>10077</v>
      </c>
      <c r="C179" s="6">
        <v>62385</v>
      </c>
      <c r="D179" s="6" t="s">
        <v>52</v>
      </c>
      <c r="E179" s="6" t="s">
        <v>30</v>
      </c>
      <c r="F179" s="6">
        <v>2324</v>
      </c>
      <c r="G179" s="7">
        <v>27997</v>
      </c>
      <c r="H179" s="6" t="s">
        <v>53</v>
      </c>
      <c r="I179" s="6" t="s">
        <v>44</v>
      </c>
      <c r="J179" s="6" t="s">
        <v>33</v>
      </c>
      <c r="K179" s="6" t="s">
        <v>34</v>
      </c>
      <c r="L179" s="6" t="s">
        <v>35</v>
      </c>
      <c r="M179" s="7">
        <v>42679</v>
      </c>
      <c r="N179" s="7">
        <v>32874</v>
      </c>
      <c r="O179" s="6" t="s">
        <v>36</v>
      </c>
      <c r="P179" s="6" t="s">
        <v>37</v>
      </c>
      <c r="Q179" s="6" t="s">
        <v>38</v>
      </c>
      <c r="R179" s="6" t="s">
        <v>61</v>
      </c>
      <c r="S179" s="6" t="s">
        <v>40</v>
      </c>
      <c r="T179" s="6" t="s">
        <v>50</v>
      </c>
      <c r="U179" s="6">
        <v>5</v>
      </c>
      <c r="V179" s="6">
        <v>3</v>
      </c>
      <c r="W179" s="6">
        <v>0</v>
      </c>
      <c r="X179" s="7">
        <v>43486</v>
      </c>
      <c r="Y179" s="6">
        <v>0</v>
      </c>
      <c r="Z179" s="8">
        <v>4</v>
      </c>
      <c r="AA179" s="9">
        <f>DATEDIF(Table1[[#This Row],[DateofBirth]],"1-1-2020","y")</f>
        <v>43</v>
      </c>
      <c r="AB179" s="10" t="str" cm="1">
        <f t="array" ref="AB179">_xlfn.IFS(Table1[[#This Row],[age]]&lt; 20,"&lt;20",Table1[[#This Row],[age]]&lt; 30,"21-30",Table1[[#This Row],[age]]&lt; 40,"31-40", Table1[[#This Row],[age]]&lt; 50,"41-50",Table1[[#This Row],[age]]&lt; 60,"51-60",Table1[[#This Row],[age]]&lt;70,"60+")</f>
        <v>41-50</v>
      </c>
    </row>
    <row r="180" spans="1:28" ht="13.5" customHeight="1">
      <c r="A180" s="5" t="s">
        <v>326</v>
      </c>
      <c r="B180" s="6">
        <v>10073</v>
      </c>
      <c r="C180" s="6">
        <v>68407</v>
      </c>
      <c r="D180" s="6" t="s">
        <v>52</v>
      </c>
      <c r="E180" s="6" t="s">
        <v>30</v>
      </c>
      <c r="F180" s="6">
        <v>2176</v>
      </c>
      <c r="G180" s="7">
        <v>31697</v>
      </c>
      <c r="H180" s="6" t="s">
        <v>53</v>
      </c>
      <c r="I180" s="6" t="s">
        <v>44</v>
      </c>
      <c r="J180" s="6" t="s">
        <v>33</v>
      </c>
      <c r="K180" s="6" t="s">
        <v>34</v>
      </c>
      <c r="L180" s="6" t="s">
        <v>90</v>
      </c>
      <c r="M180" s="7">
        <v>40670</v>
      </c>
      <c r="N180" s="7">
        <v>41140</v>
      </c>
      <c r="O180" s="6" t="s">
        <v>82</v>
      </c>
      <c r="P180" s="6" t="s">
        <v>46</v>
      </c>
      <c r="Q180" s="6" t="s">
        <v>38</v>
      </c>
      <c r="R180" s="6" t="s">
        <v>64</v>
      </c>
      <c r="S180" s="6" t="s">
        <v>40</v>
      </c>
      <c r="T180" s="6" t="s">
        <v>50</v>
      </c>
      <c r="U180" s="6">
        <v>5</v>
      </c>
      <c r="V180" s="6">
        <v>4</v>
      </c>
      <c r="W180" s="6">
        <v>0</v>
      </c>
      <c r="X180" s="7">
        <v>40946</v>
      </c>
      <c r="Y180" s="6">
        <v>0</v>
      </c>
      <c r="Z180" s="8">
        <v>16</v>
      </c>
      <c r="AA180" s="9">
        <f>DATEDIF(Table1[[#This Row],[DateofBirth]],"1-1-2020","y")</f>
        <v>33</v>
      </c>
      <c r="AB180" s="10" t="str" cm="1">
        <f t="array" ref="AB180">_xlfn.IFS(Table1[[#This Row],[age]]&lt; 20,"&lt;20",Table1[[#This Row],[age]]&lt; 30,"21-30",Table1[[#This Row],[age]]&lt; 40,"31-40", Table1[[#This Row],[age]]&lt; 50,"41-50",Table1[[#This Row],[age]]&lt; 60,"51-60",Table1[[#This Row],[age]]&lt;70,"60+")</f>
        <v>31-40</v>
      </c>
    </row>
    <row r="181" spans="1:28" ht="13.5" customHeight="1">
      <c r="A181" s="5" t="s">
        <v>327</v>
      </c>
      <c r="B181" s="6">
        <v>10279</v>
      </c>
      <c r="C181" s="6">
        <v>61349</v>
      </c>
      <c r="D181" s="6" t="s">
        <v>29</v>
      </c>
      <c r="E181" s="6" t="s">
        <v>30</v>
      </c>
      <c r="F181" s="6">
        <v>2451</v>
      </c>
      <c r="G181" s="7">
        <v>27221</v>
      </c>
      <c r="H181" s="6" t="s">
        <v>53</v>
      </c>
      <c r="I181" s="6" t="s">
        <v>44</v>
      </c>
      <c r="J181" s="6" t="s">
        <v>33</v>
      </c>
      <c r="K181" s="6" t="s">
        <v>34</v>
      </c>
      <c r="L181" s="6" t="s">
        <v>35</v>
      </c>
      <c r="M181" s="7">
        <v>41589</v>
      </c>
      <c r="N181" s="7">
        <v>32874</v>
      </c>
      <c r="O181" s="6" t="s">
        <v>36</v>
      </c>
      <c r="P181" s="6" t="s">
        <v>37</v>
      </c>
      <c r="Q181" s="6" t="s">
        <v>38</v>
      </c>
      <c r="R181" s="6" t="s">
        <v>75</v>
      </c>
      <c r="S181" s="6" t="s">
        <v>40</v>
      </c>
      <c r="T181" s="6" t="s">
        <v>50</v>
      </c>
      <c r="U181" s="6">
        <v>4.0999999999999996</v>
      </c>
      <c r="V181" s="6">
        <v>3</v>
      </c>
      <c r="W181" s="6">
        <v>0</v>
      </c>
      <c r="X181" s="7">
        <v>43487</v>
      </c>
      <c r="Y181" s="6">
        <v>0</v>
      </c>
      <c r="Z181" s="8">
        <v>11</v>
      </c>
      <c r="AA181" s="9">
        <f>DATEDIF(Table1[[#This Row],[DateofBirth]],"1-1-2020","y")</f>
        <v>45</v>
      </c>
      <c r="AB181" s="10" t="str" cm="1">
        <f t="array" ref="AB181">_xlfn.IFS(Table1[[#This Row],[age]]&lt; 20,"&lt;20",Table1[[#This Row],[age]]&lt; 30,"21-30",Table1[[#This Row],[age]]&lt; 40,"31-40", Table1[[#This Row],[age]]&lt; 50,"41-50",Table1[[#This Row],[age]]&lt; 60,"51-60",Table1[[#This Row],[age]]&lt;70,"60+")</f>
        <v>41-50</v>
      </c>
    </row>
    <row r="182" spans="1:28" ht="13.5" customHeight="1">
      <c r="A182" s="5" t="s">
        <v>328</v>
      </c>
      <c r="B182" s="6">
        <v>10110</v>
      </c>
      <c r="C182" s="6">
        <v>105688</v>
      </c>
      <c r="D182" s="6" t="s">
        <v>66</v>
      </c>
      <c r="E182" s="6" t="s">
        <v>30</v>
      </c>
      <c r="F182" s="6">
        <v>2135</v>
      </c>
      <c r="G182" s="7">
        <v>31969</v>
      </c>
      <c r="H182" s="6" t="s">
        <v>53</v>
      </c>
      <c r="I182" s="6" t="s">
        <v>32</v>
      </c>
      <c r="J182" s="6" t="s">
        <v>33</v>
      </c>
      <c r="K182" s="6" t="s">
        <v>34</v>
      </c>
      <c r="L182" s="6" t="s">
        <v>104</v>
      </c>
      <c r="M182" s="7">
        <v>41589</v>
      </c>
      <c r="N182" s="7">
        <v>32874</v>
      </c>
      <c r="O182" s="6" t="s">
        <v>36</v>
      </c>
      <c r="P182" s="6" t="s">
        <v>37</v>
      </c>
      <c r="Q182" s="6" t="s">
        <v>67</v>
      </c>
      <c r="R182" s="6" t="s">
        <v>68</v>
      </c>
      <c r="S182" s="6" t="s">
        <v>62</v>
      </c>
      <c r="T182" s="6" t="s">
        <v>50</v>
      </c>
      <c r="U182" s="6">
        <v>4.5</v>
      </c>
      <c r="V182" s="6">
        <v>5</v>
      </c>
      <c r="W182" s="6">
        <v>4</v>
      </c>
      <c r="X182" s="7">
        <v>43479</v>
      </c>
      <c r="Y182" s="6">
        <v>0</v>
      </c>
      <c r="Z182" s="8">
        <v>14</v>
      </c>
      <c r="AA182" s="9">
        <f>DATEDIF(Table1[[#This Row],[DateofBirth]],"1-1-2020","y")</f>
        <v>32</v>
      </c>
      <c r="AB182" s="10" t="str" cm="1">
        <f t="array" ref="AB182">_xlfn.IFS(Table1[[#This Row],[age]]&lt; 20,"&lt;20",Table1[[#This Row],[age]]&lt; 30,"21-30",Table1[[#This Row],[age]]&lt; 40,"31-40", Table1[[#This Row],[age]]&lt; 50,"41-50",Table1[[#This Row],[age]]&lt; 60,"51-60",Table1[[#This Row],[age]]&lt;70,"60+")</f>
        <v>31-40</v>
      </c>
    </row>
    <row r="183" spans="1:28" ht="13.5" customHeight="1">
      <c r="A183" s="5" t="s">
        <v>329</v>
      </c>
      <c r="B183" s="6">
        <v>10053</v>
      </c>
      <c r="C183" s="6">
        <v>54132</v>
      </c>
      <c r="D183" s="6" t="s">
        <v>29</v>
      </c>
      <c r="E183" s="6" t="s">
        <v>30</v>
      </c>
      <c r="F183" s="6">
        <v>2330</v>
      </c>
      <c r="G183" s="7">
        <v>28451</v>
      </c>
      <c r="H183" s="6" t="s">
        <v>53</v>
      </c>
      <c r="I183" s="6" t="s">
        <v>44</v>
      </c>
      <c r="J183" s="6" t="s">
        <v>33</v>
      </c>
      <c r="K183" s="6" t="s">
        <v>34</v>
      </c>
      <c r="L183" s="6" t="s">
        <v>35</v>
      </c>
      <c r="M183" s="7">
        <v>40694</v>
      </c>
      <c r="N183" s="7">
        <v>32874</v>
      </c>
      <c r="O183" s="6" t="s">
        <v>36</v>
      </c>
      <c r="P183" s="6" t="s">
        <v>37</v>
      </c>
      <c r="Q183" s="6" t="s">
        <v>38</v>
      </c>
      <c r="R183" s="6" t="s">
        <v>83</v>
      </c>
      <c r="S183" s="6" t="s">
        <v>49</v>
      </c>
      <c r="T183" s="6" t="s">
        <v>50</v>
      </c>
      <c r="U183" s="6">
        <v>5</v>
      </c>
      <c r="V183" s="6">
        <v>4</v>
      </c>
      <c r="W183" s="6">
        <v>0</v>
      </c>
      <c r="X183" s="7">
        <v>43739</v>
      </c>
      <c r="Y183" s="6">
        <v>0</v>
      </c>
      <c r="Z183" s="8">
        <v>8</v>
      </c>
      <c r="AA183" s="9">
        <f>DATEDIF(Table1[[#This Row],[DateofBirth]],"1-1-2020","y")</f>
        <v>42</v>
      </c>
      <c r="AB183" s="10" t="str" cm="1">
        <f t="array" ref="AB183">_xlfn.IFS(Table1[[#This Row],[age]]&lt; 20,"&lt;20",Table1[[#This Row],[age]]&lt; 30,"21-30",Table1[[#This Row],[age]]&lt; 40,"31-40", Table1[[#This Row],[age]]&lt; 50,"41-50",Table1[[#This Row],[age]]&lt; 60,"51-60",Table1[[#This Row],[age]]&lt;70,"60+")</f>
        <v>41-50</v>
      </c>
    </row>
    <row r="184" spans="1:28" ht="13.5" customHeight="1">
      <c r="A184" s="5" t="s">
        <v>330</v>
      </c>
      <c r="B184" s="6">
        <v>10076</v>
      </c>
      <c r="C184" s="6">
        <v>55315</v>
      </c>
      <c r="D184" s="6" t="s">
        <v>52</v>
      </c>
      <c r="E184" s="6" t="s">
        <v>30</v>
      </c>
      <c r="F184" s="6">
        <v>2149</v>
      </c>
      <c r="G184" s="7">
        <v>31918</v>
      </c>
      <c r="H184" s="6" t="s">
        <v>53</v>
      </c>
      <c r="I184" s="6" t="s">
        <v>32</v>
      </c>
      <c r="J184" s="6" t="s">
        <v>33</v>
      </c>
      <c r="K184" s="6" t="s">
        <v>34</v>
      </c>
      <c r="L184" s="6" t="s">
        <v>74</v>
      </c>
      <c r="M184" s="7">
        <v>42093</v>
      </c>
      <c r="N184" s="7">
        <v>32874</v>
      </c>
      <c r="O184" s="6" t="s">
        <v>36</v>
      </c>
      <c r="P184" s="6" t="s">
        <v>37</v>
      </c>
      <c r="Q184" s="6" t="s">
        <v>38</v>
      </c>
      <c r="R184" s="6" t="s">
        <v>71</v>
      </c>
      <c r="S184" s="6" t="s">
        <v>40</v>
      </c>
      <c r="T184" s="6" t="s">
        <v>50</v>
      </c>
      <c r="U184" s="6">
        <v>5</v>
      </c>
      <c r="V184" s="6">
        <v>5</v>
      </c>
      <c r="W184" s="6">
        <v>0</v>
      </c>
      <c r="X184" s="7">
        <v>43648</v>
      </c>
      <c r="Y184" s="6">
        <v>0</v>
      </c>
      <c r="Z184" s="8">
        <v>16</v>
      </c>
      <c r="AA184" s="9">
        <f>DATEDIF(Table1[[#This Row],[DateofBirth]],"1-1-2020","y")</f>
        <v>32</v>
      </c>
      <c r="AB184" s="10" t="str" cm="1">
        <f t="array" ref="AB184">_xlfn.IFS(Table1[[#This Row],[age]]&lt; 20,"&lt;20",Table1[[#This Row],[age]]&lt; 30,"21-30",Table1[[#This Row],[age]]&lt; 40,"31-40", Table1[[#This Row],[age]]&lt; 50,"41-50",Table1[[#This Row],[age]]&lt; 60,"51-60",Table1[[#This Row],[age]]&lt;70,"60+")</f>
        <v>31-40</v>
      </c>
    </row>
    <row r="185" spans="1:28" ht="13.5" customHeight="1">
      <c r="A185" s="5" t="s">
        <v>331</v>
      </c>
      <c r="B185" s="6">
        <v>10145</v>
      </c>
      <c r="C185" s="6">
        <v>62810</v>
      </c>
      <c r="D185" s="6" t="s">
        <v>29</v>
      </c>
      <c r="E185" s="6" t="s">
        <v>30</v>
      </c>
      <c r="F185" s="6">
        <v>2184</v>
      </c>
      <c r="G185" s="7">
        <v>31959</v>
      </c>
      <c r="H185" s="6" t="s">
        <v>53</v>
      </c>
      <c r="I185" s="6" t="s">
        <v>44</v>
      </c>
      <c r="J185" s="6" t="s">
        <v>33</v>
      </c>
      <c r="K185" s="6" t="s">
        <v>34</v>
      </c>
      <c r="L185" s="6" t="s">
        <v>74</v>
      </c>
      <c r="M185" s="7">
        <v>41456</v>
      </c>
      <c r="N185" s="7">
        <v>32874</v>
      </c>
      <c r="O185" s="6" t="s">
        <v>36</v>
      </c>
      <c r="P185" s="6" t="s">
        <v>37</v>
      </c>
      <c r="Q185" s="6" t="s">
        <v>38</v>
      </c>
      <c r="R185" s="6" t="s">
        <v>55</v>
      </c>
      <c r="S185" s="6" t="s">
        <v>109</v>
      </c>
      <c r="T185" s="6" t="s">
        <v>50</v>
      </c>
      <c r="U185" s="6">
        <v>3.93</v>
      </c>
      <c r="V185" s="6">
        <v>3</v>
      </c>
      <c r="W185" s="6">
        <v>0</v>
      </c>
      <c r="X185" s="7">
        <v>43495</v>
      </c>
      <c r="Y185" s="6">
        <v>0</v>
      </c>
      <c r="Z185" s="8">
        <v>20</v>
      </c>
      <c r="AA185" s="9">
        <f>DATEDIF(Table1[[#This Row],[DateofBirth]],"1-1-2020","y")</f>
        <v>32</v>
      </c>
      <c r="AB185" s="10" t="str" cm="1">
        <f t="array" ref="AB185">_xlfn.IFS(Table1[[#This Row],[age]]&lt; 20,"&lt;20",Table1[[#This Row],[age]]&lt; 30,"21-30",Table1[[#This Row],[age]]&lt; 40,"31-40", Table1[[#This Row],[age]]&lt; 50,"41-50",Table1[[#This Row],[age]]&lt; 60,"51-60",Table1[[#This Row],[age]]&lt;70,"60+")</f>
        <v>31-40</v>
      </c>
    </row>
    <row r="186" spans="1:28" ht="13.5" customHeight="1">
      <c r="A186" s="5" t="s">
        <v>332</v>
      </c>
      <c r="B186" s="6">
        <v>10202</v>
      </c>
      <c r="C186" s="6">
        <v>63291</v>
      </c>
      <c r="D186" s="6" t="s">
        <v>131</v>
      </c>
      <c r="E186" s="6" t="s">
        <v>88</v>
      </c>
      <c r="F186" s="6">
        <v>78789</v>
      </c>
      <c r="G186" s="7">
        <v>30688</v>
      </c>
      <c r="H186" s="6" t="s">
        <v>31</v>
      </c>
      <c r="I186" s="6" t="s">
        <v>44</v>
      </c>
      <c r="J186" s="6" t="s">
        <v>33</v>
      </c>
      <c r="K186" s="6" t="s">
        <v>34</v>
      </c>
      <c r="L186" s="6" t="s">
        <v>90</v>
      </c>
      <c r="M186" s="7">
        <v>42528</v>
      </c>
      <c r="N186" s="7">
        <v>32874</v>
      </c>
      <c r="O186" s="6" t="s">
        <v>36</v>
      </c>
      <c r="P186" s="6" t="s">
        <v>37</v>
      </c>
      <c r="Q186" s="6" t="s">
        <v>133</v>
      </c>
      <c r="R186" s="6" t="s">
        <v>152</v>
      </c>
      <c r="S186" s="6" t="s">
        <v>193</v>
      </c>
      <c r="T186" s="6" t="s">
        <v>50</v>
      </c>
      <c r="U186" s="6">
        <v>3.4</v>
      </c>
      <c r="V186" s="6">
        <v>4</v>
      </c>
      <c r="W186" s="6">
        <v>0</v>
      </c>
      <c r="X186" s="7">
        <v>43494</v>
      </c>
      <c r="Y186" s="6">
        <v>0</v>
      </c>
      <c r="Z186" s="8">
        <v>7</v>
      </c>
      <c r="AA186" s="9">
        <f>DATEDIF(Table1[[#This Row],[DateofBirth]],"1-1-2020","y")</f>
        <v>35</v>
      </c>
      <c r="AB186" s="10" t="str" cm="1">
        <f t="array" ref="AB186">_xlfn.IFS(Table1[[#This Row],[age]]&lt; 20,"&lt;20",Table1[[#This Row],[age]]&lt; 30,"21-30",Table1[[#This Row],[age]]&lt; 40,"31-40", Table1[[#This Row],[age]]&lt; 50,"41-50",Table1[[#This Row],[age]]&lt; 60,"51-60",Table1[[#This Row],[age]]&lt;70,"60+")</f>
        <v>31-40</v>
      </c>
    </row>
    <row r="187" spans="1:28" ht="13.5" customHeight="1">
      <c r="A187" s="5" t="s">
        <v>333</v>
      </c>
      <c r="B187" s="6">
        <v>10128</v>
      </c>
      <c r="C187" s="6">
        <v>62659</v>
      </c>
      <c r="D187" s="6" t="s">
        <v>29</v>
      </c>
      <c r="E187" s="6" t="s">
        <v>30</v>
      </c>
      <c r="F187" s="6">
        <v>1760</v>
      </c>
      <c r="G187" s="7">
        <v>24988</v>
      </c>
      <c r="H187" s="6" t="s">
        <v>53</v>
      </c>
      <c r="I187" s="6" t="s">
        <v>32</v>
      </c>
      <c r="J187" s="6" t="s">
        <v>33</v>
      </c>
      <c r="K187" s="6" t="s">
        <v>34</v>
      </c>
      <c r="L187" s="6" t="s">
        <v>74</v>
      </c>
      <c r="M187" s="7">
        <v>40943</v>
      </c>
      <c r="N187" s="7">
        <v>42685</v>
      </c>
      <c r="O187" s="6" t="s">
        <v>82</v>
      </c>
      <c r="P187" s="6" t="s">
        <v>46</v>
      </c>
      <c r="Q187" s="6" t="s">
        <v>38</v>
      </c>
      <c r="R187" s="6" t="s">
        <v>91</v>
      </c>
      <c r="S187" s="6" t="s">
        <v>76</v>
      </c>
      <c r="T187" s="6" t="s">
        <v>50</v>
      </c>
      <c r="U187" s="6">
        <v>4.18</v>
      </c>
      <c r="V187" s="6">
        <v>4</v>
      </c>
      <c r="W187" s="6">
        <v>0</v>
      </c>
      <c r="X187" s="7">
        <v>42492</v>
      </c>
      <c r="Y187" s="6">
        <v>0</v>
      </c>
      <c r="Z187" s="8">
        <v>17</v>
      </c>
      <c r="AA187" s="9">
        <f>DATEDIF(Table1[[#This Row],[DateofBirth]],"1-1-2020","y")</f>
        <v>51</v>
      </c>
      <c r="AB187" s="10" t="str" cm="1">
        <f t="array" ref="AB187">_xlfn.IFS(Table1[[#This Row],[age]]&lt; 20,"&lt;20",Table1[[#This Row],[age]]&lt; 30,"21-30",Table1[[#This Row],[age]]&lt; 40,"31-40", Table1[[#This Row],[age]]&lt; 50,"41-50",Table1[[#This Row],[age]]&lt; 60,"51-60",Table1[[#This Row],[age]]&lt;70,"60+")</f>
        <v>51-60</v>
      </c>
    </row>
    <row r="188" spans="1:28" ht="13.5" customHeight="1">
      <c r="A188" s="5" t="s">
        <v>334</v>
      </c>
      <c r="B188" s="6">
        <v>10068</v>
      </c>
      <c r="C188" s="6">
        <v>55688</v>
      </c>
      <c r="D188" s="6" t="s">
        <v>29</v>
      </c>
      <c r="E188" s="6" t="s">
        <v>30</v>
      </c>
      <c r="F188" s="6">
        <v>2346</v>
      </c>
      <c r="G188" s="7">
        <v>28025</v>
      </c>
      <c r="H188" s="6" t="s">
        <v>53</v>
      </c>
      <c r="I188" s="6" t="s">
        <v>32</v>
      </c>
      <c r="J188" s="6" t="s">
        <v>33</v>
      </c>
      <c r="K188" s="6" t="s">
        <v>34</v>
      </c>
      <c r="L188" s="6" t="s">
        <v>35</v>
      </c>
      <c r="M188" s="7">
        <v>42093</v>
      </c>
      <c r="N188" s="7">
        <v>32874</v>
      </c>
      <c r="O188" s="6" t="s">
        <v>36</v>
      </c>
      <c r="P188" s="6" t="s">
        <v>37</v>
      </c>
      <c r="Q188" s="6" t="s">
        <v>38</v>
      </c>
      <c r="R188" s="6" t="s">
        <v>39</v>
      </c>
      <c r="S188" s="6" t="s">
        <v>109</v>
      </c>
      <c r="T188" s="6" t="s">
        <v>50</v>
      </c>
      <c r="U188" s="6">
        <v>5</v>
      </c>
      <c r="V188" s="6">
        <v>4</v>
      </c>
      <c r="W188" s="6">
        <v>0</v>
      </c>
      <c r="X188" s="7">
        <v>43486</v>
      </c>
      <c r="Y188" s="6">
        <v>0</v>
      </c>
      <c r="Z188" s="8">
        <v>10</v>
      </c>
      <c r="AA188" s="9">
        <f>DATEDIF(Table1[[#This Row],[DateofBirth]],"1-1-2020","y")</f>
        <v>43</v>
      </c>
      <c r="AB188" s="10" t="str" cm="1">
        <f t="array" ref="AB188">_xlfn.IFS(Table1[[#This Row],[age]]&lt; 20,"&lt;20",Table1[[#This Row],[age]]&lt; 30,"21-30",Table1[[#This Row],[age]]&lt; 40,"31-40", Table1[[#This Row],[age]]&lt; 50,"41-50",Table1[[#This Row],[age]]&lt; 60,"51-60",Table1[[#This Row],[age]]&lt;70,"60+")</f>
        <v>41-50</v>
      </c>
    </row>
    <row r="189" spans="1:28" ht="13.5" customHeight="1">
      <c r="A189" s="5" t="s">
        <v>335</v>
      </c>
      <c r="B189" s="6">
        <v>10116</v>
      </c>
      <c r="C189" s="6">
        <v>83667</v>
      </c>
      <c r="D189" s="6" t="s">
        <v>121</v>
      </c>
      <c r="E189" s="6" t="s">
        <v>30</v>
      </c>
      <c r="F189" s="6">
        <v>2045</v>
      </c>
      <c r="G189" s="7">
        <v>29867</v>
      </c>
      <c r="H189" s="6" t="s">
        <v>31</v>
      </c>
      <c r="I189" s="6" t="s">
        <v>32</v>
      </c>
      <c r="J189" s="6" t="s">
        <v>33</v>
      </c>
      <c r="K189" s="6" t="s">
        <v>336</v>
      </c>
      <c r="L189" s="6" t="s">
        <v>337</v>
      </c>
      <c r="M189" s="7">
        <v>41137</v>
      </c>
      <c r="N189" s="7">
        <v>32874</v>
      </c>
      <c r="O189" s="6" t="s">
        <v>36</v>
      </c>
      <c r="P189" s="6" t="s">
        <v>37</v>
      </c>
      <c r="Q189" s="6" t="s">
        <v>38</v>
      </c>
      <c r="R189" s="6" t="s">
        <v>123</v>
      </c>
      <c r="S189" s="6" t="s">
        <v>49</v>
      </c>
      <c r="T189" s="6" t="s">
        <v>50</v>
      </c>
      <c r="U189" s="6">
        <v>4.37</v>
      </c>
      <c r="V189" s="6">
        <v>3</v>
      </c>
      <c r="W189" s="6">
        <v>0</v>
      </c>
      <c r="X189" s="7">
        <v>43479</v>
      </c>
      <c r="Y189" s="6">
        <v>0</v>
      </c>
      <c r="Z189" s="8">
        <v>2</v>
      </c>
      <c r="AA189" s="9">
        <f>DATEDIF(Table1[[#This Row],[DateofBirth]],"1-1-2020","y")</f>
        <v>38</v>
      </c>
      <c r="AB189" s="10" t="str" cm="1">
        <f t="array" ref="AB189">_xlfn.IFS(Table1[[#This Row],[age]]&lt; 20,"&lt;20",Table1[[#This Row],[age]]&lt; 30,"21-30",Table1[[#This Row],[age]]&lt; 40,"31-40", Table1[[#This Row],[age]]&lt; 50,"41-50",Table1[[#This Row],[age]]&lt; 60,"51-60",Table1[[#This Row],[age]]&lt;70,"60+")</f>
        <v>31-40</v>
      </c>
    </row>
    <row r="190" spans="1:28" ht="13.5" customHeight="1">
      <c r="A190" s="5" t="s">
        <v>338</v>
      </c>
      <c r="B190" s="6">
        <v>10298</v>
      </c>
      <c r="C190" s="6">
        <v>55800</v>
      </c>
      <c r="D190" s="6" t="s">
        <v>52</v>
      </c>
      <c r="E190" s="6" t="s">
        <v>30</v>
      </c>
      <c r="F190" s="6">
        <v>2472</v>
      </c>
      <c r="G190" s="7">
        <v>31227</v>
      </c>
      <c r="H190" s="6" t="s">
        <v>31</v>
      </c>
      <c r="I190" s="6" t="s">
        <v>32</v>
      </c>
      <c r="J190" s="6" t="s">
        <v>33</v>
      </c>
      <c r="K190" s="6" t="s">
        <v>34</v>
      </c>
      <c r="L190" s="6" t="s">
        <v>35</v>
      </c>
      <c r="M190" s="7">
        <v>40770</v>
      </c>
      <c r="N190" s="7">
        <v>41738</v>
      </c>
      <c r="O190" s="6" t="s">
        <v>85</v>
      </c>
      <c r="P190" s="6" t="s">
        <v>46</v>
      </c>
      <c r="Q190" s="6" t="s">
        <v>38</v>
      </c>
      <c r="R190" s="6" t="s">
        <v>75</v>
      </c>
      <c r="S190" s="6" t="s">
        <v>40</v>
      </c>
      <c r="T190" s="6" t="s">
        <v>183</v>
      </c>
      <c r="U190" s="6">
        <v>3</v>
      </c>
      <c r="V190" s="6">
        <v>2</v>
      </c>
      <c r="W190" s="6">
        <v>0</v>
      </c>
      <c r="X190" s="7">
        <v>41288</v>
      </c>
      <c r="Y190" s="6">
        <v>6</v>
      </c>
      <c r="Z190" s="8">
        <v>6</v>
      </c>
      <c r="AA190" s="9">
        <f>DATEDIF(Table1[[#This Row],[DateofBirth]],"1-1-2020","y")</f>
        <v>34</v>
      </c>
      <c r="AB190" s="10" t="str" cm="1">
        <f t="array" ref="AB190">_xlfn.IFS(Table1[[#This Row],[age]]&lt; 20,"&lt;20",Table1[[#This Row],[age]]&lt; 30,"21-30",Table1[[#This Row],[age]]&lt; 40,"31-40", Table1[[#This Row],[age]]&lt; 50,"41-50",Table1[[#This Row],[age]]&lt; 60,"51-60",Table1[[#This Row],[age]]&lt;70,"60+")</f>
        <v>31-40</v>
      </c>
    </row>
    <row r="191" spans="1:28" ht="13.5" customHeight="1">
      <c r="A191" s="5" t="s">
        <v>339</v>
      </c>
      <c r="B191" s="6">
        <v>10213</v>
      </c>
      <c r="C191" s="6">
        <v>58207</v>
      </c>
      <c r="D191" s="6" t="s">
        <v>52</v>
      </c>
      <c r="E191" s="6" t="s">
        <v>30</v>
      </c>
      <c r="F191" s="6">
        <v>1450</v>
      </c>
      <c r="G191" s="7">
        <v>33833</v>
      </c>
      <c r="H191" s="6" t="s">
        <v>31</v>
      </c>
      <c r="I191" s="6" t="s">
        <v>44</v>
      </c>
      <c r="J191" s="6" t="s">
        <v>33</v>
      </c>
      <c r="K191" s="6" t="s">
        <v>34</v>
      </c>
      <c r="L191" s="6" t="s">
        <v>35</v>
      </c>
      <c r="M191" s="7">
        <v>40735</v>
      </c>
      <c r="N191" s="7">
        <v>32874</v>
      </c>
      <c r="O191" s="6" t="s">
        <v>36</v>
      </c>
      <c r="P191" s="6" t="s">
        <v>37</v>
      </c>
      <c r="Q191" s="6" t="s">
        <v>38</v>
      </c>
      <c r="R191" s="6" t="s">
        <v>83</v>
      </c>
      <c r="S191" s="6" t="s">
        <v>40</v>
      </c>
      <c r="T191" s="6" t="s">
        <v>50</v>
      </c>
      <c r="U191" s="6">
        <v>3.7</v>
      </c>
      <c r="V191" s="6">
        <v>3</v>
      </c>
      <c r="W191" s="6">
        <v>0</v>
      </c>
      <c r="X191" s="7">
        <v>43678</v>
      </c>
      <c r="Y191" s="6">
        <v>0</v>
      </c>
      <c r="Z191" s="8">
        <v>14</v>
      </c>
      <c r="AA191" s="9">
        <f>DATEDIF(Table1[[#This Row],[DateofBirth]],"1-1-2020","y")</f>
        <v>27</v>
      </c>
      <c r="AB191" s="10" t="str" cm="1">
        <f t="array" ref="AB191">_xlfn.IFS(Table1[[#This Row],[age]]&lt; 20,"&lt;20",Table1[[#This Row],[age]]&lt; 30,"21-30",Table1[[#This Row],[age]]&lt; 40,"31-40", Table1[[#This Row],[age]]&lt; 50,"41-50",Table1[[#This Row],[age]]&lt; 60,"51-60",Table1[[#This Row],[age]]&lt;70,"60+")</f>
        <v>21-30</v>
      </c>
    </row>
    <row r="192" spans="1:28" ht="13.5" customHeight="1">
      <c r="A192" s="5" t="s">
        <v>340</v>
      </c>
      <c r="B192" s="6">
        <v>10288</v>
      </c>
      <c r="C192" s="6">
        <v>157000</v>
      </c>
      <c r="D192" s="6" t="s">
        <v>341</v>
      </c>
      <c r="E192" s="6" t="s">
        <v>30</v>
      </c>
      <c r="F192" s="6">
        <v>2134</v>
      </c>
      <c r="G192" s="7">
        <v>31542</v>
      </c>
      <c r="H192" s="6" t="s">
        <v>31</v>
      </c>
      <c r="I192" s="6" t="s">
        <v>44</v>
      </c>
      <c r="J192" s="6" t="s">
        <v>99</v>
      </c>
      <c r="K192" s="6" t="s">
        <v>81</v>
      </c>
      <c r="L192" s="6" t="s">
        <v>74</v>
      </c>
      <c r="M192" s="7">
        <v>40954</v>
      </c>
      <c r="N192" s="7">
        <v>32874</v>
      </c>
      <c r="O192" s="6" t="s">
        <v>36</v>
      </c>
      <c r="P192" s="6" t="s">
        <v>37</v>
      </c>
      <c r="Q192" s="6" t="s">
        <v>47</v>
      </c>
      <c r="R192" s="6" t="s">
        <v>139</v>
      </c>
      <c r="S192" s="6" t="s">
        <v>76</v>
      </c>
      <c r="T192" s="6" t="s">
        <v>110</v>
      </c>
      <c r="U192" s="6">
        <v>2.39</v>
      </c>
      <c r="V192" s="6">
        <v>3</v>
      </c>
      <c r="W192" s="6">
        <v>6</v>
      </c>
      <c r="X192" s="7">
        <v>43518</v>
      </c>
      <c r="Y192" s="6">
        <v>4</v>
      </c>
      <c r="Z192" s="8">
        <v>13</v>
      </c>
      <c r="AA192" s="9">
        <f>DATEDIF(Table1[[#This Row],[DateofBirth]],"1-1-2020","y")</f>
        <v>33</v>
      </c>
      <c r="AB192" s="10" t="str" cm="1">
        <f t="array" ref="AB192">_xlfn.IFS(Table1[[#This Row],[age]]&lt; 20,"&lt;20",Table1[[#This Row],[age]]&lt; 30,"21-30",Table1[[#This Row],[age]]&lt; 40,"31-40", Table1[[#This Row],[age]]&lt; 50,"41-50",Table1[[#This Row],[age]]&lt; 60,"51-60",Table1[[#This Row],[age]]&lt;70,"60+")</f>
        <v>31-40</v>
      </c>
    </row>
    <row r="193" spans="1:28" ht="13.5" customHeight="1">
      <c r="A193" s="5" t="s">
        <v>342</v>
      </c>
      <c r="B193" s="6">
        <v>10025</v>
      </c>
      <c r="C193" s="6">
        <v>72460</v>
      </c>
      <c r="D193" s="6" t="s">
        <v>52</v>
      </c>
      <c r="E193" s="6" t="s">
        <v>30</v>
      </c>
      <c r="F193" s="6">
        <v>2126</v>
      </c>
      <c r="G193" s="7">
        <v>25682</v>
      </c>
      <c r="H193" s="6" t="s">
        <v>53</v>
      </c>
      <c r="I193" s="6" t="s">
        <v>32</v>
      </c>
      <c r="J193" s="6" t="s">
        <v>33</v>
      </c>
      <c r="K193" s="6" t="s">
        <v>34</v>
      </c>
      <c r="L193" s="6" t="s">
        <v>74</v>
      </c>
      <c r="M193" s="7">
        <v>41407</v>
      </c>
      <c r="N193" s="7">
        <v>32874</v>
      </c>
      <c r="O193" s="6" t="s">
        <v>36</v>
      </c>
      <c r="P193" s="6" t="s">
        <v>37</v>
      </c>
      <c r="Q193" s="6" t="s">
        <v>38</v>
      </c>
      <c r="R193" s="6" t="s">
        <v>55</v>
      </c>
      <c r="S193" s="6" t="s">
        <v>49</v>
      </c>
      <c r="T193" s="6" t="s">
        <v>41</v>
      </c>
      <c r="U193" s="6">
        <v>4.7</v>
      </c>
      <c r="V193" s="6">
        <v>3</v>
      </c>
      <c r="W193" s="6">
        <v>0</v>
      </c>
      <c r="X193" s="7">
        <v>43479</v>
      </c>
      <c r="Y193" s="6">
        <v>0</v>
      </c>
      <c r="Z193" s="8">
        <v>1</v>
      </c>
      <c r="AA193" s="9">
        <f>DATEDIF(Table1[[#This Row],[DateofBirth]],"1-1-2020","y")</f>
        <v>49</v>
      </c>
      <c r="AB193" s="10" t="str" cm="1">
        <f t="array" ref="AB193">_xlfn.IFS(Table1[[#This Row],[age]]&lt; 20,"&lt;20",Table1[[#This Row],[age]]&lt; 30,"21-30",Table1[[#This Row],[age]]&lt; 40,"31-40", Table1[[#This Row],[age]]&lt; 50,"41-50",Table1[[#This Row],[age]]&lt; 60,"51-60",Table1[[#This Row],[age]]&lt;70,"60+")</f>
        <v>41-50</v>
      </c>
    </row>
    <row r="194" spans="1:28" ht="13.5" customHeight="1">
      <c r="A194" s="5" t="s">
        <v>343</v>
      </c>
      <c r="B194" s="6">
        <v>10223</v>
      </c>
      <c r="C194" s="6">
        <v>72106</v>
      </c>
      <c r="D194" s="6" t="s">
        <v>52</v>
      </c>
      <c r="E194" s="6" t="s">
        <v>30</v>
      </c>
      <c r="F194" s="6">
        <v>2127</v>
      </c>
      <c r="G194" s="7">
        <v>27831</v>
      </c>
      <c r="H194" s="6" t="s">
        <v>31</v>
      </c>
      <c r="I194" s="6" t="s">
        <v>32</v>
      </c>
      <c r="J194" s="6" t="s">
        <v>33</v>
      </c>
      <c r="K194" s="6" t="s">
        <v>34</v>
      </c>
      <c r="L194" s="6" t="s">
        <v>74</v>
      </c>
      <c r="M194" s="7">
        <v>41153</v>
      </c>
      <c r="N194" s="7">
        <v>32874</v>
      </c>
      <c r="O194" s="6" t="s">
        <v>36</v>
      </c>
      <c r="P194" s="6" t="s">
        <v>37</v>
      </c>
      <c r="Q194" s="6" t="s">
        <v>38</v>
      </c>
      <c r="R194" s="6" t="s">
        <v>91</v>
      </c>
      <c r="S194" s="6" t="s">
        <v>76</v>
      </c>
      <c r="T194" s="6" t="s">
        <v>50</v>
      </c>
      <c r="U194" s="6">
        <v>4.0999999999999996</v>
      </c>
      <c r="V194" s="6">
        <v>4</v>
      </c>
      <c r="W194" s="6">
        <v>0</v>
      </c>
      <c r="X194" s="7">
        <v>43496</v>
      </c>
      <c r="Y194" s="6">
        <v>0</v>
      </c>
      <c r="Z194" s="8">
        <v>12</v>
      </c>
      <c r="AA194" s="9">
        <f>DATEDIF(Table1[[#This Row],[DateofBirth]],"1-1-2020","y")</f>
        <v>43</v>
      </c>
      <c r="AB194" s="10" t="str" cm="1">
        <f t="array" ref="AB194">_xlfn.IFS(Table1[[#This Row],[age]]&lt; 20,"&lt;20",Table1[[#This Row],[age]]&lt; 30,"21-30",Table1[[#This Row],[age]]&lt; 40,"31-40", Table1[[#This Row],[age]]&lt; 50,"41-50",Table1[[#This Row],[age]]&lt; 60,"51-60",Table1[[#This Row],[age]]&lt;70,"60+")</f>
        <v>41-50</v>
      </c>
    </row>
    <row r="195" spans="1:28" ht="13.5" customHeight="1">
      <c r="A195" s="5" t="s">
        <v>344</v>
      </c>
      <c r="B195" s="6">
        <v>10151</v>
      </c>
      <c r="C195" s="6">
        <v>52599</v>
      </c>
      <c r="D195" s="6" t="s">
        <v>217</v>
      </c>
      <c r="E195" s="6" t="s">
        <v>30</v>
      </c>
      <c r="F195" s="6">
        <v>2048</v>
      </c>
      <c r="G195" s="7">
        <v>28949</v>
      </c>
      <c r="H195" s="6" t="s">
        <v>53</v>
      </c>
      <c r="I195" s="6" t="s">
        <v>44</v>
      </c>
      <c r="J195" s="6" t="s">
        <v>33</v>
      </c>
      <c r="K195" s="6" t="s">
        <v>34</v>
      </c>
      <c r="L195" s="6" t="s">
        <v>35</v>
      </c>
      <c r="M195" s="7">
        <v>42051</v>
      </c>
      <c r="N195" s="7">
        <v>32874</v>
      </c>
      <c r="O195" s="6" t="s">
        <v>36</v>
      </c>
      <c r="P195" s="6" t="s">
        <v>37</v>
      </c>
      <c r="Q195" s="6" t="s">
        <v>47</v>
      </c>
      <c r="R195" s="6" t="s">
        <v>79</v>
      </c>
      <c r="S195" s="6" t="s">
        <v>109</v>
      </c>
      <c r="T195" s="6" t="s">
        <v>50</v>
      </c>
      <c r="U195" s="6">
        <v>3.81</v>
      </c>
      <c r="V195" s="6">
        <v>3</v>
      </c>
      <c r="W195" s="6">
        <v>6</v>
      </c>
      <c r="X195" s="7">
        <v>43771</v>
      </c>
      <c r="Y195" s="6">
        <v>0</v>
      </c>
      <c r="Z195" s="8">
        <v>6</v>
      </c>
      <c r="AA195" s="9">
        <f>DATEDIF(Table1[[#This Row],[DateofBirth]],"1-1-2020","y")</f>
        <v>40</v>
      </c>
      <c r="AB195" s="10" t="str" cm="1">
        <f t="array" ref="AB195">_xlfn.IFS(Table1[[#This Row],[age]]&lt; 20,"&lt;20",Table1[[#This Row],[age]]&lt; 30,"21-30",Table1[[#This Row],[age]]&lt; 40,"31-40", Table1[[#This Row],[age]]&lt; 50,"41-50",Table1[[#This Row],[age]]&lt; 60,"51-60",Table1[[#This Row],[age]]&lt;70,"60+")</f>
        <v>41-50</v>
      </c>
    </row>
    <row r="196" spans="1:28" ht="13.5" customHeight="1">
      <c r="A196" s="5" t="s">
        <v>345</v>
      </c>
      <c r="B196" s="6">
        <v>10254</v>
      </c>
      <c r="C196" s="6">
        <v>63430</v>
      </c>
      <c r="D196" s="6" t="s">
        <v>29</v>
      </c>
      <c r="E196" s="6" t="s">
        <v>30</v>
      </c>
      <c r="F196" s="6">
        <v>2453</v>
      </c>
      <c r="G196" s="7">
        <v>30870</v>
      </c>
      <c r="H196" s="6" t="s">
        <v>53</v>
      </c>
      <c r="I196" s="6" t="s">
        <v>59</v>
      </c>
      <c r="J196" s="6" t="s">
        <v>33</v>
      </c>
      <c r="K196" s="6" t="s">
        <v>34</v>
      </c>
      <c r="L196" s="6" t="s">
        <v>35</v>
      </c>
      <c r="M196" s="7">
        <v>41278</v>
      </c>
      <c r="N196" s="7">
        <v>32874</v>
      </c>
      <c r="O196" s="6" t="s">
        <v>36</v>
      </c>
      <c r="P196" s="6" t="s">
        <v>37</v>
      </c>
      <c r="Q196" s="6" t="s">
        <v>38</v>
      </c>
      <c r="R196" s="6" t="s">
        <v>57</v>
      </c>
      <c r="S196" s="6" t="s">
        <v>40</v>
      </c>
      <c r="T196" s="6" t="s">
        <v>50</v>
      </c>
      <c r="U196" s="6">
        <v>4.4000000000000004</v>
      </c>
      <c r="V196" s="6">
        <v>4</v>
      </c>
      <c r="W196" s="6">
        <v>0</v>
      </c>
      <c r="X196" s="7">
        <v>43482</v>
      </c>
      <c r="Y196" s="6">
        <v>0</v>
      </c>
      <c r="Z196" s="8">
        <v>18</v>
      </c>
      <c r="AA196" s="9">
        <f>DATEDIF(Table1[[#This Row],[DateofBirth]],"1-1-2020","y")</f>
        <v>35</v>
      </c>
      <c r="AB196" s="10" t="str" cm="1">
        <f t="array" ref="AB196">_xlfn.IFS(Table1[[#This Row],[age]]&lt; 20,"&lt;20",Table1[[#This Row],[age]]&lt; 30,"21-30",Table1[[#This Row],[age]]&lt; 40,"31-40", Table1[[#This Row],[age]]&lt; 50,"41-50",Table1[[#This Row],[age]]&lt; 60,"51-60",Table1[[#This Row],[age]]&lt;70,"60+")</f>
        <v>31-40</v>
      </c>
    </row>
    <row r="197" spans="1:28" ht="13.5" customHeight="1">
      <c r="A197" s="5" t="s">
        <v>346</v>
      </c>
      <c r="B197" s="6">
        <v>10120</v>
      </c>
      <c r="C197" s="6">
        <v>74417</v>
      </c>
      <c r="D197" s="6" t="s">
        <v>52</v>
      </c>
      <c r="E197" s="6" t="s">
        <v>30</v>
      </c>
      <c r="F197" s="6">
        <v>1460</v>
      </c>
      <c r="G197" s="7">
        <v>27041</v>
      </c>
      <c r="H197" s="6" t="s">
        <v>31</v>
      </c>
      <c r="I197" s="6" t="s">
        <v>129</v>
      </c>
      <c r="J197" s="6" t="s">
        <v>33</v>
      </c>
      <c r="K197" s="6" t="s">
        <v>34</v>
      </c>
      <c r="L197" s="6" t="s">
        <v>74</v>
      </c>
      <c r="M197" s="7">
        <v>41407</v>
      </c>
      <c r="N197" s="7">
        <v>32874</v>
      </c>
      <c r="O197" s="6" t="s">
        <v>36</v>
      </c>
      <c r="P197" s="6" t="s">
        <v>37</v>
      </c>
      <c r="Q197" s="6" t="s">
        <v>38</v>
      </c>
      <c r="R197" s="6" t="s">
        <v>39</v>
      </c>
      <c r="S197" s="6" t="s">
        <v>40</v>
      </c>
      <c r="T197" s="6" t="s">
        <v>50</v>
      </c>
      <c r="U197" s="6">
        <v>4.29</v>
      </c>
      <c r="V197" s="6">
        <v>5</v>
      </c>
      <c r="W197" s="6">
        <v>0</v>
      </c>
      <c r="X197" s="7">
        <v>43493</v>
      </c>
      <c r="Y197" s="6">
        <v>0</v>
      </c>
      <c r="Z197" s="8">
        <v>11</v>
      </c>
      <c r="AA197" s="9">
        <f>DATEDIF(Table1[[#This Row],[DateofBirth]],"1-1-2020","y")</f>
        <v>45</v>
      </c>
      <c r="AB197" s="10" t="str" cm="1">
        <f t="array" ref="AB197">_xlfn.IFS(Table1[[#This Row],[age]]&lt; 20,"&lt;20",Table1[[#This Row],[age]]&lt; 30,"21-30",Table1[[#This Row],[age]]&lt; 40,"31-40", Table1[[#This Row],[age]]&lt; 50,"41-50",Table1[[#This Row],[age]]&lt; 60,"51-60",Table1[[#This Row],[age]]&lt;70,"60+")</f>
        <v>41-50</v>
      </c>
    </row>
    <row r="198" spans="1:28" ht="13.5" customHeight="1">
      <c r="A198" s="5" t="s">
        <v>347</v>
      </c>
      <c r="B198" s="6">
        <v>10216</v>
      </c>
      <c r="C198" s="6">
        <v>57575</v>
      </c>
      <c r="D198" s="6" t="s">
        <v>29</v>
      </c>
      <c r="E198" s="6" t="s">
        <v>30</v>
      </c>
      <c r="F198" s="6">
        <v>1550</v>
      </c>
      <c r="G198" s="7">
        <v>29329</v>
      </c>
      <c r="H198" s="6" t="s">
        <v>31</v>
      </c>
      <c r="I198" s="6" t="s">
        <v>32</v>
      </c>
      <c r="J198" s="6" t="s">
        <v>33</v>
      </c>
      <c r="K198" s="6" t="s">
        <v>34</v>
      </c>
      <c r="L198" s="6" t="s">
        <v>104</v>
      </c>
      <c r="M198" s="7">
        <v>41493</v>
      </c>
      <c r="N198" s="7">
        <v>32874</v>
      </c>
      <c r="O198" s="6" t="s">
        <v>36</v>
      </c>
      <c r="P198" s="6" t="s">
        <v>37</v>
      </c>
      <c r="Q198" s="6" t="s">
        <v>38</v>
      </c>
      <c r="R198" s="6" t="s">
        <v>55</v>
      </c>
      <c r="S198" s="6" t="s">
        <v>40</v>
      </c>
      <c r="T198" s="6" t="s">
        <v>50</v>
      </c>
      <c r="U198" s="6">
        <v>4.0999999999999996</v>
      </c>
      <c r="V198" s="6">
        <v>4</v>
      </c>
      <c r="W198" s="6">
        <v>0</v>
      </c>
      <c r="X198" s="7">
        <v>43487</v>
      </c>
      <c r="Y198" s="6">
        <v>0</v>
      </c>
      <c r="Z198" s="8">
        <v>13</v>
      </c>
      <c r="AA198" s="9">
        <f>DATEDIF(Table1[[#This Row],[DateofBirth]],"1-1-2020","y")</f>
        <v>39</v>
      </c>
      <c r="AB198" s="10" t="str" cm="1">
        <f t="array" ref="AB198">_xlfn.IFS(Table1[[#This Row],[age]]&lt; 20,"&lt;20",Table1[[#This Row],[age]]&lt; 30,"21-30",Table1[[#This Row],[age]]&lt; 40,"31-40", Table1[[#This Row],[age]]&lt; 50,"41-50",Table1[[#This Row],[age]]&lt; 60,"51-60",Table1[[#This Row],[age]]&lt;70,"60+")</f>
        <v>31-40</v>
      </c>
    </row>
    <row r="199" spans="1:28" ht="13.5" customHeight="1">
      <c r="A199" s="5" t="s">
        <v>348</v>
      </c>
      <c r="B199" s="6">
        <v>10079</v>
      </c>
      <c r="C199" s="6">
        <v>87921</v>
      </c>
      <c r="D199" s="6" t="s">
        <v>308</v>
      </c>
      <c r="E199" s="6" t="s">
        <v>30</v>
      </c>
      <c r="F199" s="6">
        <v>2056</v>
      </c>
      <c r="G199" s="7">
        <v>25683</v>
      </c>
      <c r="H199" s="6" t="s">
        <v>31</v>
      </c>
      <c r="I199" s="6" t="s">
        <v>32</v>
      </c>
      <c r="J199" s="6" t="s">
        <v>33</v>
      </c>
      <c r="K199" s="6" t="s">
        <v>34</v>
      </c>
      <c r="L199" s="6" t="s">
        <v>104</v>
      </c>
      <c r="M199" s="7">
        <v>43010</v>
      </c>
      <c r="N199" s="7">
        <v>32874</v>
      </c>
      <c r="O199" s="6" t="s">
        <v>36</v>
      </c>
      <c r="P199" s="6" t="s">
        <v>37</v>
      </c>
      <c r="Q199" s="6" t="s">
        <v>47</v>
      </c>
      <c r="R199" s="6" t="s">
        <v>189</v>
      </c>
      <c r="S199" s="6" t="s">
        <v>49</v>
      </c>
      <c r="T199" s="6" t="s">
        <v>50</v>
      </c>
      <c r="U199" s="6">
        <v>5</v>
      </c>
      <c r="V199" s="6">
        <v>3</v>
      </c>
      <c r="W199" s="6">
        <v>6</v>
      </c>
      <c r="X199" s="7">
        <v>43521</v>
      </c>
      <c r="Y199" s="6">
        <v>0</v>
      </c>
      <c r="Z199" s="8">
        <v>17</v>
      </c>
      <c r="AA199" s="9">
        <f>DATEDIF(Table1[[#This Row],[DateofBirth]],"1-1-2020","y")</f>
        <v>49</v>
      </c>
      <c r="AB199" s="10" t="str" cm="1">
        <f t="array" ref="AB199">_xlfn.IFS(Table1[[#This Row],[age]]&lt; 20,"&lt;20",Table1[[#This Row],[age]]&lt; 30,"21-30",Table1[[#This Row],[age]]&lt; 40,"31-40", Table1[[#This Row],[age]]&lt; 50,"41-50",Table1[[#This Row],[age]]&lt; 60,"51-60",Table1[[#This Row],[age]]&lt;70,"60+")</f>
        <v>41-50</v>
      </c>
    </row>
    <row r="200" spans="1:28" ht="13.5" customHeight="1">
      <c r="A200" s="5" t="s">
        <v>349</v>
      </c>
      <c r="B200" s="6">
        <v>10215</v>
      </c>
      <c r="C200" s="6">
        <v>50470</v>
      </c>
      <c r="D200" s="6" t="s">
        <v>29</v>
      </c>
      <c r="E200" s="6" t="s">
        <v>30</v>
      </c>
      <c r="F200" s="6">
        <v>2110</v>
      </c>
      <c r="G200" s="7">
        <v>32544</v>
      </c>
      <c r="H200" s="6" t="s">
        <v>31</v>
      </c>
      <c r="I200" s="6" t="s">
        <v>32</v>
      </c>
      <c r="J200" s="6" t="s">
        <v>33</v>
      </c>
      <c r="K200" s="6" t="s">
        <v>34</v>
      </c>
      <c r="L200" s="6" t="s">
        <v>74</v>
      </c>
      <c r="M200" s="7">
        <v>40812</v>
      </c>
      <c r="N200" s="7">
        <v>41733</v>
      </c>
      <c r="O200" s="6" t="s">
        <v>60</v>
      </c>
      <c r="P200" s="6" t="s">
        <v>46</v>
      </c>
      <c r="Q200" s="6" t="s">
        <v>38</v>
      </c>
      <c r="R200" s="6" t="s">
        <v>61</v>
      </c>
      <c r="S200" s="6" t="s">
        <v>76</v>
      </c>
      <c r="T200" s="6" t="s">
        <v>50</v>
      </c>
      <c r="U200" s="6">
        <v>4.3</v>
      </c>
      <c r="V200" s="6">
        <v>3</v>
      </c>
      <c r="W200" s="6">
        <v>0</v>
      </c>
      <c r="X200" s="7">
        <v>41308</v>
      </c>
      <c r="Y200" s="6">
        <v>0</v>
      </c>
      <c r="Z200" s="8">
        <v>19</v>
      </c>
      <c r="AA200" s="9">
        <f>DATEDIF(Table1[[#This Row],[DateofBirth]],"1-1-2020","y")</f>
        <v>30</v>
      </c>
      <c r="AB200" s="10" t="str" cm="1">
        <f t="array" ref="AB200">_xlfn.IFS(Table1[[#This Row],[age]]&lt; 20,"&lt;20",Table1[[#This Row],[age]]&lt; 30,"21-30",Table1[[#This Row],[age]]&lt; 40,"31-40", Table1[[#This Row],[age]]&lt; 50,"41-50",Table1[[#This Row],[age]]&lt; 60,"51-60",Table1[[#This Row],[age]]&lt;70,"60+")</f>
        <v>31-40</v>
      </c>
    </row>
    <row r="201" spans="1:28" ht="13.5" customHeight="1">
      <c r="A201" s="5" t="s">
        <v>350</v>
      </c>
      <c r="B201" s="6">
        <v>10185</v>
      </c>
      <c r="C201" s="6">
        <v>46664</v>
      </c>
      <c r="D201" s="6" t="s">
        <v>29</v>
      </c>
      <c r="E201" s="6" t="s">
        <v>30</v>
      </c>
      <c r="F201" s="6">
        <v>2421</v>
      </c>
      <c r="G201" s="7">
        <v>30403</v>
      </c>
      <c r="H201" s="6" t="s">
        <v>31</v>
      </c>
      <c r="I201" s="6" t="s">
        <v>44</v>
      </c>
      <c r="J201" s="6" t="s">
        <v>33</v>
      </c>
      <c r="K201" s="6" t="s">
        <v>34</v>
      </c>
      <c r="L201" s="6" t="s">
        <v>35</v>
      </c>
      <c r="M201" s="7">
        <v>41278</v>
      </c>
      <c r="N201" s="7">
        <v>42515</v>
      </c>
      <c r="O201" s="6" t="s">
        <v>185</v>
      </c>
      <c r="P201" s="6" t="s">
        <v>46</v>
      </c>
      <c r="Q201" s="6" t="s">
        <v>38</v>
      </c>
      <c r="R201" s="6" t="s">
        <v>64</v>
      </c>
      <c r="S201" s="6" t="s">
        <v>72</v>
      </c>
      <c r="T201" s="6" t="s">
        <v>50</v>
      </c>
      <c r="U201" s="6">
        <v>3.18</v>
      </c>
      <c r="V201" s="6">
        <v>3</v>
      </c>
      <c r="W201" s="6">
        <v>0</v>
      </c>
      <c r="X201" s="7">
        <v>42524</v>
      </c>
      <c r="Y201" s="6">
        <v>0</v>
      </c>
      <c r="Z201" s="8">
        <v>10</v>
      </c>
      <c r="AA201" s="9">
        <f>DATEDIF(Table1[[#This Row],[DateofBirth]],"1-1-2020","y")</f>
        <v>36</v>
      </c>
      <c r="AB201" s="10" t="str" cm="1">
        <f t="array" ref="AB201">_xlfn.IFS(Table1[[#This Row],[age]]&lt; 20,"&lt;20",Table1[[#This Row],[age]]&lt; 30,"21-30",Table1[[#This Row],[age]]&lt; 40,"31-40", Table1[[#This Row],[age]]&lt; 50,"41-50",Table1[[#This Row],[age]]&lt; 60,"51-60",Table1[[#This Row],[age]]&lt;70,"60+")</f>
        <v>31-40</v>
      </c>
    </row>
    <row r="202" spans="1:28" ht="13.5" customHeight="1">
      <c r="A202" s="5" t="s">
        <v>351</v>
      </c>
      <c r="B202" s="6">
        <v>10063</v>
      </c>
      <c r="C202" s="6">
        <v>48495</v>
      </c>
      <c r="D202" s="6" t="s">
        <v>29</v>
      </c>
      <c r="E202" s="6" t="s">
        <v>30</v>
      </c>
      <c r="F202" s="6">
        <v>2136</v>
      </c>
      <c r="G202" s="7">
        <v>28341</v>
      </c>
      <c r="H202" s="6" t="s">
        <v>31</v>
      </c>
      <c r="I202" s="6" t="s">
        <v>44</v>
      </c>
      <c r="J202" s="6" t="s">
        <v>33</v>
      </c>
      <c r="K202" s="6" t="s">
        <v>34</v>
      </c>
      <c r="L202" s="6" t="s">
        <v>35</v>
      </c>
      <c r="M202" s="7">
        <v>41978</v>
      </c>
      <c r="N202" s="7">
        <v>32874</v>
      </c>
      <c r="O202" s="6" t="s">
        <v>36</v>
      </c>
      <c r="P202" s="6" t="s">
        <v>37</v>
      </c>
      <c r="Q202" s="6" t="s">
        <v>38</v>
      </c>
      <c r="R202" s="6" t="s">
        <v>71</v>
      </c>
      <c r="S202" s="6" t="s">
        <v>40</v>
      </c>
      <c r="T202" s="6" t="s">
        <v>50</v>
      </c>
      <c r="U202" s="6">
        <v>5</v>
      </c>
      <c r="V202" s="6">
        <v>5</v>
      </c>
      <c r="W202" s="6">
        <v>0</v>
      </c>
      <c r="X202" s="7">
        <v>43514</v>
      </c>
      <c r="Y202" s="6">
        <v>0</v>
      </c>
      <c r="Z202" s="8">
        <v>11</v>
      </c>
      <c r="AA202" s="9">
        <f>DATEDIF(Table1[[#This Row],[DateofBirth]],"1-1-2020","y")</f>
        <v>42</v>
      </c>
      <c r="AB202" s="10" t="str" cm="1">
        <f t="array" ref="AB202">_xlfn.IFS(Table1[[#This Row],[age]]&lt; 20,"&lt;20",Table1[[#This Row],[age]]&lt; 30,"21-30",Table1[[#This Row],[age]]&lt; 40,"31-40", Table1[[#This Row],[age]]&lt; 50,"41-50",Table1[[#This Row],[age]]&lt; 60,"51-60",Table1[[#This Row],[age]]&lt;70,"60+")</f>
        <v>41-50</v>
      </c>
    </row>
    <row r="203" spans="1:28" ht="13.5" customHeight="1">
      <c r="A203" s="5" t="s">
        <v>352</v>
      </c>
      <c r="B203" s="6">
        <v>10037</v>
      </c>
      <c r="C203" s="6">
        <v>52984</v>
      </c>
      <c r="D203" s="6" t="s">
        <v>29</v>
      </c>
      <c r="E203" s="6" t="s">
        <v>30</v>
      </c>
      <c r="F203" s="6">
        <v>1810</v>
      </c>
      <c r="G203" s="7">
        <v>24537</v>
      </c>
      <c r="H203" s="6" t="s">
        <v>53</v>
      </c>
      <c r="I203" s="6" t="s">
        <v>129</v>
      </c>
      <c r="J203" s="6" t="s">
        <v>33</v>
      </c>
      <c r="K203" s="6" t="s">
        <v>34</v>
      </c>
      <c r="L203" s="6" t="s">
        <v>74</v>
      </c>
      <c r="M203" s="7">
        <v>41278</v>
      </c>
      <c r="N203" s="7">
        <v>32874</v>
      </c>
      <c r="O203" s="6" t="s">
        <v>36</v>
      </c>
      <c r="P203" s="6" t="s">
        <v>37</v>
      </c>
      <c r="Q203" s="6" t="s">
        <v>38</v>
      </c>
      <c r="R203" s="6" t="s">
        <v>75</v>
      </c>
      <c r="S203" s="6" t="s">
        <v>76</v>
      </c>
      <c r="T203" s="6" t="s">
        <v>41</v>
      </c>
      <c r="U203" s="6">
        <v>4</v>
      </c>
      <c r="V203" s="6">
        <v>3</v>
      </c>
      <c r="W203" s="6">
        <v>0</v>
      </c>
      <c r="X203" s="7">
        <v>43509</v>
      </c>
      <c r="Y203" s="6">
        <v>0</v>
      </c>
      <c r="Z203" s="8">
        <v>12</v>
      </c>
      <c r="AA203" s="9">
        <f>DATEDIF(Table1[[#This Row],[DateofBirth]],"1-1-2020","y")</f>
        <v>52</v>
      </c>
      <c r="AB203" s="10" t="str" cm="1">
        <f t="array" ref="AB203">_xlfn.IFS(Table1[[#This Row],[age]]&lt; 20,"&lt;20",Table1[[#This Row],[age]]&lt; 30,"21-30",Table1[[#This Row],[age]]&lt; 40,"31-40", Table1[[#This Row],[age]]&lt; 50,"41-50",Table1[[#This Row],[age]]&lt; 60,"51-60",Table1[[#This Row],[age]]&lt;70,"60+")</f>
        <v>51-60</v>
      </c>
    </row>
    <row r="204" spans="1:28" ht="13.5" customHeight="1">
      <c r="A204" s="5" t="s">
        <v>353</v>
      </c>
      <c r="B204" s="6">
        <v>10042</v>
      </c>
      <c r="C204" s="6">
        <v>63695</v>
      </c>
      <c r="D204" s="6" t="s">
        <v>131</v>
      </c>
      <c r="E204" s="6" t="s">
        <v>354</v>
      </c>
      <c r="F204" s="6">
        <v>30428</v>
      </c>
      <c r="G204" s="7">
        <v>32598</v>
      </c>
      <c r="H204" s="6" t="s">
        <v>53</v>
      </c>
      <c r="I204" s="6" t="s">
        <v>32</v>
      </c>
      <c r="J204" s="6" t="s">
        <v>33</v>
      </c>
      <c r="K204" s="6" t="s">
        <v>34</v>
      </c>
      <c r="L204" s="6" t="s">
        <v>90</v>
      </c>
      <c r="M204" s="7">
        <v>41493</v>
      </c>
      <c r="N204" s="7">
        <v>32874</v>
      </c>
      <c r="O204" s="6" t="s">
        <v>36</v>
      </c>
      <c r="P204" s="6" t="s">
        <v>37</v>
      </c>
      <c r="Q204" s="6" t="s">
        <v>133</v>
      </c>
      <c r="R204" s="6" t="s">
        <v>152</v>
      </c>
      <c r="S204" s="6" t="s">
        <v>49</v>
      </c>
      <c r="T204" s="6" t="s">
        <v>50</v>
      </c>
      <c r="U204" s="6">
        <v>5</v>
      </c>
      <c r="V204" s="6">
        <v>5</v>
      </c>
      <c r="W204" s="6">
        <v>0</v>
      </c>
      <c r="X204" s="7">
        <v>43490</v>
      </c>
      <c r="Y204" s="6">
        <v>0</v>
      </c>
      <c r="Z204" s="8">
        <v>2</v>
      </c>
      <c r="AA204" s="9">
        <f>DATEDIF(Table1[[#This Row],[DateofBirth]],"1-1-2020","y")</f>
        <v>30</v>
      </c>
      <c r="AB204" s="10" t="str" cm="1">
        <f t="array" ref="AB204">_xlfn.IFS(Table1[[#This Row],[age]]&lt; 20,"&lt;20",Table1[[#This Row],[age]]&lt; 30,"21-30",Table1[[#This Row],[age]]&lt; 40,"31-40", Table1[[#This Row],[age]]&lt; 50,"41-50",Table1[[#This Row],[age]]&lt; 60,"51-60",Table1[[#This Row],[age]]&lt;70,"60+")</f>
        <v>31-40</v>
      </c>
    </row>
    <row r="205" spans="1:28" ht="13.5" customHeight="1">
      <c r="A205" s="5" t="s">
        <v>355</v>
      </c>
      <c r="B205" s="6">
        <v>10206</v>
      </c>
      <c r="C205" s="6">
        <v>62061</v>
      </c>
      <c r="D205" s="6" t="s">
        <v>29</v>
      </c>
      <c r="E205" s="6" t="s">
        <v>30</v>
      </c>
      <c r="F205" s="6">
        <v>2132</v>
      </c>
      <c r="G205" s="7">
        <v>30870</v>
      </c>
      <c r="H205" s="6" t="s">
        <v>53</v>
      </c>
      <c r="I205" s="6" t="s">
        <v>32</v>
      </c>
      <c r="J205" s="6" t="s">
        <v>33</v>
      </c>
      <c r="K205" s="6" t="s">
        <v>34</v>
      </c>
      <c r="L205" s="6" t="s">
        <v>35</v>
      </c>
      <c r="M205" s="7">
        <v>41493</v>
      </c>
      <c r="N205" s="7">
        <v>32874</v>
      </c>
      <c r="O205" s="6" t="s">
        <v>36</v>
      </c>
      <c r="P205" s="6" t="s">
        <v>37</v>
      </c>
      <c r="Q205" s="6" t="s">
        <v>38</v>
      </c>
      <c r="R205" s="6" t="s">
        <v>83</v>
      </c>
      <c r="S205" s="6" t="s">
        <v>40</v>
      </c>
      <c r="T205" s="6" t="s">
        <v>50</v>
      </c>
      <c r="U205" s="6">
        <v>3.6</v>
      </c>
      <c r="V205" s="6">
        <v>5</v>
      </c>
      <c r="W205" s="6">
        <v>0</v>
      </c>
      <c r="X205" s="7">
        <v>43497</v>
      </c>
      <c r="Y205" s="6">
        <v>0</v>
      </c>
      <c r="Z205" s="8">
        <v>4</v>
      </c>
      <c r="AA205" s="9">
        <f>DATEDIF(Table1[[#This Row],[DateofBirth]],"1-1-2020","y")</f>
        <v>35</v>
      </c>
      <c r="AB205" s="10" t="str" cm="1">
        <f t="array" ref="AB205">_xlfn.IFS(Table1[[#This Row],[age]]&lt; 20,"&lt;20",Table1[[#This Row],[age]]&lt; 30,"21-30",Table1[[#This Row],[age]]&lt; 40,"31-40", Table1[[#This Row],[age]]&lt; 50,"41-50",Table1[[#This Row],[age]]&lt; 60,"51-60",Table1[[#This Row],[age]]&lt;70,"60+")</f>
        <v>31-40</v>
      </c>
    </row>
    <row r="206" spans="1:28" ht="13.5" customHeight="1">
      <c r="A206" s="5" t="s">
        <v>356</v>
      </c>
      <c r="B206" s="6">
        <v>10104</v>
      </c>
      <c r="C206" s="6">
        <v>66738</v>
      </c>
      <c r="D206" s="6" t="s">
        <v>52</v>
      </c>
      <c r="E206" s="6" t="s">
        <v>30</v>
      </c>
      <c r="F206" s="6">
        <v>1040</v>
      </c>
      <c r="G206" s="7">
        <v>31374</v>
      </c>
      <c r="H206" s="6" t="s">
        <v>53</v>
      </c>
      <c r="I206" s="6" t="s">
        <v>32</v>
      </c>
      <c r="J206" s="6" t="s">
        <v>33</v>
      </c>
      <c r="K206" s="6" t="s">
        <v>34</v>
      </c>
      <c r="L206" s="6" t="s">
        <v>35</v>
      </c>
      <c r="M206" s="7">
        <v>41923</v>
      </c>
      <c r="N206" s="7">
        <v>32874</v>
      </c>
      <c r="O206" s="6" t="s">
        <v>36</v>
      </c>
      <c r="P206" s="6" t="s">
        <v>37</v>
      </c>
      <c r="Q206" s="6" t="s">
        <v>38</v>
      </c>
      <c r="R206" s="6" t="s">
        <v>57</v>
      </c>
      <c r="S206" s="6" t="s">
        <v>49</v>
      </c>
      <c r="T206" s="6" t="s">
        <v>50</v>
      </c>
      <c r="U206" s="6">
        <v>4.53</v>
      </c>
      <c r="V206" s="6">
        <v>5</v>
      </c>
      <c r="W206" s="6">
        <v>0</v>
      </c>
      <c r="X206" s="7">
        <v>43481</v>
      </c>
      <c r="Y206" s="6">
        <v>0</v>
      </c>
      <c r="Z206" s="8">
        <v>5</v>
      </c>
      <c r="AA206" s="9">
        <f>DATEDIF(Table1[[#This Row],[DateofBirth]],"1-1-2020","y")</f>
        <v>34</v>
      </c>
      <c r="AB206" s="10" t="str" cm="1">
        <f t="array" ref="AB206">_xlfn.IFS(Table1[[#This Row],[age]]&lt; 20,"&lt;20",Table1[[#This Row],[age]]&lt; 30,"21-30",Table1[[#This Row],[age]]&lt; 40,"31-40", Table1[[#This Row],[age]]&lt; 50,"41-50",Table1[[#This Row],[age]]&lt; 60,"51-60",Table1[[#This Row],[age]]&lt;70,"60+")</f>
        <v>31-40</v>
      </c>
    </row>
    <row r="207" spans="1:28" ht="13.5" customHeight="1">
      <c r="A207" s="5" t="s">
        <v>357</v>
      </c>
      <c r="B207" s="6">
        <v>10303</v>
      </c>
      <c r="C207" s="6">
        <v>52674</v>
      </c>
      <c r="D207" s="6" t="s">
        <v>29</v>
      </c>
      <c r="E207" s="6" t="s">
        <v>30</v>
      </c>
      <c r="F207" s="6">
        <v>2152</v>
      </c>
      <c r="G207" s="7">
        <v>29494</v>
      </c>
      <c r="H207" s="6" t="s">
        <v>53</v>
      </c>
      <c r="I207" s="6" t="s">
        <v>32</v>
      </c>
      <c r="J207" s="6" t="s">
        <v>33</v>
      </c>
      <c r="K207" s="6" t="s">
        <v>34</v>
      </c>
      <c r="L207" s="6" t="s">
        <v>90</v>
      </c>
      <c r="M207" s="7">
        <v>41729</v>
      </c>
      <c r="N207" s="7">
        <v>43105</v>
      </c>
      <c r="O207" s="6" t="s">
        <v>102</v>
      </c>
      <c r="P207" s="6" t="s">
        <v>96</v>
      </c>
      <c r="Q207" s="6" t="s">
        <v>38</v>
      </c>
      <c r="R207" s="6" t="s">
        <v>55</v>
      </c>
      <c r="S207" s="6" t="s">
        <v>40</v>
      </c>
      <c r="T207" s="6" t="s">
        <v>183</v>
      </c>
      <c r="U207" s="6">
        <v>2.33</v>
      </c>
      <c r="V207" s="6">
        <v>2</v>
      </c>
      <c r="W207" s="6">
        <v>0</v>
      </c>
      <c r="X207" s="7">
        <v>43346</v>
      </c>
      <c r="Y207" s="6">
        <v>6</v>
      </c>
      <c r="Z207" s="8">
        <v>3</v>
      </c>
      <c r="AA207" s="9">
        <f>DATEDIF(Table1[[#This Row],[DateofBirth]],"1-1-2020","y")</f>
        <v>39</v>
      </c>
      <c r="AB207" s="10" t="str" cm="1">
        <f t="array" ref="AB207">_xlfn.IFS(Table1[[#This Row],[age]]&lt; 20,"&lt;20",Table1[[#This Row],[age]]&lt; 30,"21-30",Table1[[#This Row],[age]]&lt; 40,"31-40", Table1[[#This Row],[age]]&lt; 50,"41-50",Table1[[#This Row],[age]]&lt; 60,"51-60",Table1[[#This Row],[age]]&lt;70,"60+")</f>
        <v>31-40</v>
      </c>
    </row>
    <row r="208" spans="1:28" ht="13.5" customHeight="1">
      <c r="A208" s="5" t="s">
        <v>358</v>
      </c>
      <c r="B208" s="6">
        <v>10078</v>
      </c>
      <c r="C208" s="6">
        <v>71966</v>
      </c>
      <c r="D208" s="6" t="s">
        <v>52</v>
      </c>
      <c r="E208" s="6" t="s">
        <v>30</v>
      </c>
      <c r="F208" s="6">
        <v>2492</v>
      </c>
      <c r="G208" s="7">
        <v>19300</v>
      </c>
      <c r="H208" s="6" t="s">
        <v>53</v>
      </c>
      <c r="I208" s="6" t="s">
        <v>44</v>
      </c>
      <c r="J208" s="6" t="s">
        <v>33</v>
      </c>
      <c r="K208" s="6" t="s">
        <v>34</v>
      </c>
      <c r="L208" s="6" t="s">
        <v>104</v>
      </c>
      <c r="M208" s="7">
        <v>41043</v>
      </c>
      <c r="N208" s="7">
        <v>41505</v>
      </c>
      <c r="O208" s="6" t="s">
        <v>85</v>
      </c>
      <c r="P208" s="6" t="s">
        <v>46</v>
      </c>
      <c r="Q208" s="6" t="s">
        <v>38</v>
      </c>
      <c r="R208" s="6" t="s">
        <v>61</v>
      </c>
      <c r="S208" s="6" t="s">
        <v>40</v>
      </c>
      <c r="T208" s="6" t="s">
        <v>50</v>
      </c>
      <c r="U208" s="6">
        <v>5</v>
      </c>
      <c r="V208" s="6">
        <v>3</v>
      </c>
      <c r="W208" s="6">
        <v>0</v>
      </c>
      <c r="X208" s="7">
        <v>41312</v>
      </c>
      <c r="Y208" s="6">
        <v>0</v>
      </c>
      <c r="Z208" s="8">
        <v>17</v>
      </c>
      <c r="AA208" s="9">
        <f>DATEDIF(Table1[[#This Row],[DateofBirth]],"1-1-2020","y")</f>
        <v>67</v>
      </c>
      <c r="AB208" s="10" t="str" cm="1">
        <f t="array" ref="AB208">_xlfn.IFS(Table1[[#This Row],[age]]&lt; 20,"&lt;20",Table1[[#This Row],[age]]&lt; 30,"21-30",Table1[[#This Row],[age]]&lt; 40,"31-40", Table1[[#This Row],[age]]&lt; 50,"41-50",Table1[[#This Row],[age]]&lt; 60,"51-60",Table1[[#This Row],[age]]&lt;70,"60+")</f>
        <v>60+</v>
      </c>
    </row>
    <row r="209" spans="1:28" ht="13.5" customHeight="1">
      <c r="A209" s="5" t="s">
        <v>359</v>
      </c>
      <c r="B209" s="6">
        <v>10121</v>
      </c>
      <c r="C209" s="6">
        <v>63051</v>
      </c>
      <c r="D209" s="6" t="s">
        <v>131</v>
      </c>
      <c r="E209" s="6" t="s">
        <v>360</v>
      </c>
      <c r="F209" s="6">
        <v>33174</v>
      </c>
      <c r="G209" s="7">
        <v>33182</v>
      </c>
      <c r="H209" s="6" t="s">
        <v>53</v>
      </c>
      <c r="I209" s="6" t="s">
        <v>32</v>
      </c>
      <c r="J209" s="6" t="s">
        <v>33</v>
      </c>
      <c r="K209" s="6" t="s">
        <v>81</v>
      </c>
      <c r="L209" s="6" t="s">
        <v>35</v>
      </c>
      <c r="M209" s="7">
        <v>41547</v>
      </c>
      <c r="N209" s="7">
        <v>32874</v>
      </c>
      <c r="O209" s="6" t="s">
        <v>36</v>
      </c>
      <c r="P209" s="6" t="s">
        <v>37</v>
      </c>
      <c r="Q209" s="6" t="s">
        <v>133</v>
      </c>
      <c r="R209" s="6" t="s">
        <v>152</v>
      </c>
      <c r="S209" s="6" t="s">
        <v>49</v>
      </c>
      <c r="T209" s="6" t="s">
        <v>50</v>
      </c>
      <c r="U209" s="6">
        <v>4.28</v>
      </c>
      <c r="V209" s="6">
        <v>3</v>
      </c>
      <c r="W209" s="6">
        <v>0</v>
      </c>
      <c r="X209" s="7">
        <v>43490</v>
      </c>
      <c r="Y209" s="6">
        <v>0</v>
      </c>
      <c r="Z209" s="8">
        <v>1</v>
      </c>
      <c r="AA209" s="9">
        <f>DATEDIF(Table1[[#This Row],[DateofBirth]],"1-1-2020","y")</f>
        <v>29</v>
      </c>
      <c r="AB209" s="10" t="str" cm="1">
        <f t="array" ref="AB209">_xlfn.IFS(Table1[[#This Row],[age]]&lt; 20,"&lt;20",Table1[[#This Row],[age]]&lt; 30,"21-30",Table1[[#This Row],[age]]&lt; 40,"31-40", Table1[[#This Row],[age]]&lt; 50,"41-50",Table1[[#This Row],[age]]&lt; 60,"51-60",Table1[[#This Row],[age]]&lt;70,"60+")</f>
        <v>21-30</v>
      </c>
    </row>
    <row r="210" spans="1:28" ht="13.5" customHeight="1">
      <c r="A210" s="5" t="s">
        <v>361</v>
      </c>
      <c r="B210" s="6">
        <v>10021</v>
      </c>
      <c r="C210" s="6">
        <v>47414</v>
      </c>
      <c r="D210" s="6" t="s">
        <v>29</v>
      </c>
      <c r="E210" s="6" t="s">
        <v>30</v>
      </c>
      <c r="F210" s="6">
        <v>2478</v>
      </c>
      <c r="G210" s="7">
        <v>28076</v>
      </c>
      <c r="H210" s="6" t="s">
        <v>31</v>
      </c>
      <c r="I210" s="6" t="s">
        <v>44</v>
      </c>
      <c r="J210" s="6" t="s">
        <v>33</v>
      </c>
      <c r="K210" s="6" t="s">
        <v>34</v>
      </c>
      <c r="L210" s="6" t="s">
        <v>35</v>
      </c>
      <c r="M210" s="7">
        <v>41547</v>
      </c>
      <c r="N210" s="7">
        <v>32874</v>
      </c>
      <c r="O210" s="6" t="s">
        <v>36</v>
      </c>
      <c r="P210" s="6" t="s">
        <v>37</v>
      </c>
      <c r="Q210" s="6" t="s">
        <v>38</v>
      </c>
      <c r="R210" s="6" t="s">
        <v>91</v>
      </c>
      <c r="S210" s="6" t="s">
        <v>40</v>
      </c>
      <c r="T210" s="6" t="s">
        <v>41</v>
      </c>
      <c r="U210" s="6">
        <v>5</v>
      </c>
      <c r="V210" s="6">
        <v>3</v>
      </c>
      <c r="W210" s="6">
        <v>0</v>
      </c>
      <c r="X210" s="7">
        <v>43648</v>
      </c>
      <c r="Y210" s="6">
        <v>0</v>
      </c>
      <c r="Z210" s="8">
        <v>13</v>
      </c>
      <c r="AA210" s="9">
        <f>DATEDIF(Table1[[#This Row],[DateofBirth]],"1-1-2020","y")</f>
        <v>43</v>
      </c>
      <c r="AB210" s="10" t="str" cm="1">
        <f t="array" ref="AB210">_xlfn.IFS(Table1[[#This Row],[age]]&lt; 20,"&lt;20",Table1[[#This Row],[age]]&lt; 30,"21-30",Table1[[#This Row],[age]]&lt; 40,"31-40", Table1[[#This Row],[age]]&lt; 50,"41-50",Table1[[#This Row],[age]]&lt; 60,"51-60",Table1[[#This Row],[age]]&lt;70,"60+")</f>
        <v>41-50</v>
      </c>
    </row>
    <row r="211" spans="1:28" ht="13.5" customHeight="1">
      <c r="A211" s="5" t="s">
        <v>362</v>
      </c>
      <c r="B211" s="6">
        <v>10281</v>
      </c>
      <c r="C211" s="6">
        <v>53060</v>
      </c>
      <c r="D211" s="6" t="s">
        <v>29</v>
      </c>
      <c r="E211" s="6" t="s">
        <v>30</v>
      </c>
      <c r="F211" s="6">
        <v>1760</v>
      </c>
      <c r="G211" s="7">
        <v>29183</v>
      </c>
      <c r="H211" s="6" t="s">
        <v>31</v>
      </c>
      <c r="I211" s="6" t="s">
        <v>32</v>
      </c>
      <c r="J211" s="6" t="s">
        <v>33</v>
      </c>
      <c r="K211" s="6" t="s">
        <v>34</v>
      </c>
      <c r="L211" s="6" t="s">
        <v>74</v>
      </c>
      <c r="M211" s="7">
        <v>41687</v>
      </c>
      <c r="N211" s="7">
        <v>32874</v>
      </c>
      <c r="O211" s="6" t="s">
        <v>36</v>
      </c>
      <c r="P211" s="6" t="s">
        <v>37</v>
      </c>
      <c r="Q211" s="6" t="s">
        <v>38</v>
      </c>
      <c r="R211" s="6" t="s">
        <v>39</v>
      </c>
      <c r="S211" s="6" t="s">
        <v>40</v>
      </c>
      <c r="T211" s="6" t="s">
        <v>110</v>
      </c>
      <c r="U211" s="6">
        <v>4.25</v>
      </c>
      <c r="V211" s="6">
        <v>3</v>
      </c>
      <c r="W211" s="6">
        <v>0</v>
      </c>
      <c r="X211" s="7">
        <v>43557</v>
      </c>
      <c r="Y211" s="6">
        <v>4</v>
      </c>
      <c r="Z211" s="8">
        <v>6</v>
      </c>
      <c r="AA211" s="9">
        <f>DATEDIF(Table1[[#This Row],[DateofBirth]],"1-1-2020","y")</f>
        <v>40</v>
      </c>
      <c r="AB211" s="10" t="str" cm="1">
        <f t="array" ref="AB211">_xlfn.IFS(Table1[[#This Row],[age]]&lt; 20,"&lt;20",Table1[[#This Row],[age]]&lt; 30,"21-30",Table1[[#This Row],[age]]&lt; 40,"31-40", Table1[[#This Row],[age]]&lt; 50,"41-50",Table1[[#This Row],[age]]&lt; 60,"51-60",Table1[[#This Row],[age]]&lt;70,"60+")</f>
        <v>41-50</v>
      </c>
    </row>
    <row r="212" spans="1:28" ht="13.5" customHeight="1">
      <c r="A212" s="5" t="s">
        <v>363</v>
      </c>
      <c r="B212" s="6">
        <v>10041</v>
      </c>
      <c r="C212" s="6">
        <v>68829</v>
      </c>
      <c r="D212" s="6" t="s">
        <v>131</v>
      </c>
      <c r="E212" s="6" t="s">
        <v>364</v>
      </c>
      <c r="F212" s="6">
        <v>27229</v>
      </c>
      <c r="G212" s="7">
        <v>30090</v>
      </c>
      <c r="H212" s="6" t="s">
        <v>31</v>
      </c>
      <c r="I212" s="6" t="s">
        <v>32</v>
      </c>
      <c r="J212" s="6" t="s">
        <v>33</v>
      </c>
      <c r="K212" s="6" t="s">
        <v>34</v>
      </c>
      <c r="L212" s="6" t="s">
        <v>35</v>
      </c>
      <c r="M212" s="7">
        <v>42125</v>
      </c>
      <c r="N212" s="7">
        <v>32874</v>
      </c>
      <c r="O212" s="6" t="s">
        <v>36</v>
      </c>
      <c r="P212" s="6" t="s">
        <v>37</v>
      </c>
      <c r="Q212" s="6" t="s">
        <v>133</v>
      </c>
      <c r="R212" s="6" t="s">
        <v>134</v>
      </c>
      <c r="S212" s="6" t="s">
        <v>193</v>
      </c>
      <c r="T212" s="6" t="s">
        <v>50</v>
      </c>
      <c r="U212" s="6">
        <v>5</v>
      </c>
      <c r="V212" s="6">
        <v>5</v>
      </c>
      <c r="W212" s="6">
        <v>0</v>
      </c>
      <c r="X212" s="7">
        <v>43479</v>
      </c>
      <c r="Y212" s="6">
        <v>0</v>
      </c>
      <c r="Z212" s="8">
        <v>18</v>
      </c>
      <c r="AA212" s="9">
        <f>DATEDIF(Table1[[#This Row],[DateofBirth]],"1-1-2020","y")</f>
        <v>37</v>
      </c>
      <c r="AB212" s="10" t="str" cm="1">
        <f t="array" ref="AB212">_xlfn.IFS(Table1[[#This Row],[age]]&lt; 20,"&lt;20",Table1[[#This Row],[age]]&lt; 30,"21-30",Table1[[#This Row],[age]]&lt; 40,"31-40", Table1[[#This Row],[age]]&lt; 50,"41-50",Table1[[#This Row],[age]]&lt; 60,"51-60",Table1[[#This Row],[age]]&lt;70,"60+")</f>
        <v>31-40</v>
      </c>
    </row>
    <row r="213" spans="1:28" ht="13.5" customHeight="1">
      <c r="A213" s="5" t="s">
        <v>365</v>
      </c>
      <c r="B213" s="6">
        <v>10148</v>
      </c>
      <c r="C213" s="6">
        <v>63515</v>
      </c>
      <c r="D213" s="6" t="s">
        <v>29</v>
      </c>
      <c r="E213" s="6" t="s">
        <v>30</v>
      </c>
      <c r="F213" s="6">
        <v>2351</v>
      </c>
      <c r="G213" s="7">
        <v>28860</v>
      </c>
      <c r="H213" s="6" t="s">
        <v>53</v>
      </c>
      <c r="I213" s="6" t="s">
        <v>44</v>
      </c>
      <c r="J213" s="6" t="s">
        <v>33</v>
      </c>
      <c r="K213" s="6" t="s">
        <v>34</v>
      </c>
      <c r="L213" s="6" t="s">
        <v>35</v>
      </c>
      <c r="M213" s="7">
        <v>40726</v>
      </c>
      <c r="N213" s="7">
        <v>41974</v>
      </c>
      <c r="O213" s="6" t="s">
        <v>82</v>
      </c>
      <c r="P213" s="6" t="s">
        <v>46</v>
      </c>
      <c r="Q213" s="6" t="s">
        <v>38</v>
      </c>
      <c r="R213" s="6" t="s">
        <v>57</v>
      </c>
      <c r="S213" s="6" t="s">
        <v>62</v>
      </c>
      <c r="T213" s="6" t="s">
        <v>50</v>
      </c>
      <c r="U213" s="6">
        <v>3.89</v>
      </c>
      <c r="V213" s="6">
        <v>4</v>
      </c>
      <c r="W213" s="6">
        <v>0</v>
      </c>
      <c r="X213" s="7">
        <v>41367</v>
      </c>
      <c r="Y213" s="6">
        <v>0</v>
      </c>
      <c r="Z213" s="8">
        <v>7</v>
      </c>
      <c r="AA213" s="9">
        <f>DATEDIF(Table1[[#This Row],[DateofBirth]],"1-1-2020","y")</f>
        <v>40</v>
      </c>
      <c r="AB213" s="10" t="str" cm="1">
        <f t="array" ref="AB213">_xlfn.IFS(Table1[[#This Row],[age]]&lt; 20,"&lt;20",Table1[[#This Row],[age]]&lt; 30,"21-30",Table1[[#This Row],[age]]&lt; 40,"31-40", Table1[[#This Row],[age]]&lt; 50,"41-50",Table1[[#This Row],[age]]&lt; 60,"51-60",Table1[[#This Row],[age]]&lt;70,"60+")</f>
        <v>41-50</v>
      </c>
    </row>
    <row r="214" spans="1:28" ht="13.5" customHeight="1">
      <c r="A214" s="5" t="s">
        <v>366</v>
      </c>
      <c r="B214" s="6">
        <v>10005</v>
      </c>
      <c r="C214" s="6">
        <v>108987</v>
      </c>
      <c r="D214" s="6" t="s">
        <v>66</v>
      </c>
      <c r="E214" s="6" t="s">
        <v>30</v>
      </c>
      <c r="F214" s="6">
        <v>1844</v>
      </c>
      <c r="G214" s="7">
        <v>28906</v>
      </c>
      <c r="H214" s="6" t="s">
        <v>31</v>
      </c>
      <c r="I214" s="6" t="s">
        <v>32</v>
      </c>
      <c r="J214" s="6" t="s">
        <v>33</v>
      </c>
      <c r="K214" s="6" t="s">
        <v>34</v>
      </c>
      <c r="L214" s="6" t="s">
        <v>74</v>
      </c>
      <c r="M214" s="7">
        <v>40735</v>
      </c>
      <c r="N214" s="7">
        <v>42194</v>
      </c>
      <c r="O214" s="6" t="s">
        <v>82</v>
      </c>
      <c r="P214" s="6" t="s">
        <v>46</v>
      </c>
      <c r="Q214" s="6" t="s">
        <v>67</v>
      </c>
      <c r="R214" s="6" t="s">
        <v>68</v>
      </c>
      <c r="S214" s="6" t="s">
        <v>76</v>
      </c>
      <c r="T214" s="6" t="s">
        <v>41</v>
      </c>
      <c r="U214" s="6">
        <v>5</v>
      </c>
      <c r="V214" s="6">
        <v>5</v>
      </c>
      <c r="W214" s="6">
        <v>3</v>
      </c>
      <c r="X214" s="7">
        <v>42232</v>
      </c>
      <c r="Y214" s="6">
        <v>0</v>
      </c>
      <c r="Z214" s="8">
        <v>13</v>
      </c>
      <c r="AA214" s="9">
        <f>DATEDIF(Table1[[#This Row],[DateofBirth]],"1-1-2020","y")</f>
        <v>40</v>
      </c>
      <c r="AB214" s="10" t="str" cm="1">
        <f t="array" ref="AB214">_xlfn.IFS(Table1[[#This Row],[age]]&lt; 20,"&lt;20",Table1[[#This Row],[age]]&lt; 30,"21-30",Table1[[#This Row],[age]]&lt; 40,"31-40", Table1[[#This Row],[age]]&lt; 50,"41-50",Table1[[#This Row],[age]]&lt; 60,"51-60",Table1[[#This Row],[age]]&lt;70,"60+")</f>
        <v>41-50</v>
      </c>
    </row>
    <row r="215" spans="1:28" ht="13.5" customHeight="1">
      <c r="A215" s="5" t="s">
        <v>367</v>
      </c>
      <c r="B215" s="6">
        <v>10259</v>
      </c>
      <c r="C215" s="6">
        <v>93093</v>
      </c>
      <c r="D215" s="6" t="s">
        <v>87</v>
      </c>
      <c r="E215" s="6" t="s">
        <v>30</v>
      </c>
      <c r="F215" s="6">
        <v>2747</v>
      </c>
      <c r="G215" s="7">
        <v>30811</v>
      </c>
      <c r="H215" s="6" t="s">
        <v>31</v>
      </c>
      <c r="I215" s="6" t="s">
        <v>44</v>
      </c>
      <c r="J215" s="6" t="s">
        <v>33</v>
      </c>
      <c r="K215" s="6" t="s">
        <v>34</v>
      </c>
      <c r="L215" s="6" t="s">
        <v>35</v>
      </c>
      <c r="M215" s="7">
        <v>41651</v>
      </c>
      <c r="N215" s="7">
        <v>42374</v>
      </c>
      <c r="O215" s="6" t="s">
        <v>102</v>
      </c>
      <c r="P215" s="6" t="s">
        <v>46</v>
      </c>
      <c r="Q215" s="6" t="s">
        <v>47</v>
      </c>
      <c r="R215" s="6" t="s">
        <v>48</v>
      </c>
      <c r="S215" s="6" t="s">
        <v>72</v>
      </c>
      <c r="T215" s="6" t="s">
        <v>50</v>
      </c>
      <c r="U215" s="6">
        <v>4.7</v>
      </c>
      <c r="V215" s="6">
        <v>4</v>
      </c>
      <c r="W215" s="6">
        <v>5</v>
      </c>
      <c r="X215" s="7">
        <v>42385</v>
      </c>
      <c r="Y215" s="6">
        <v>0</v>
      </c>
      <c r="Z215" s="8">
        <v>19</v>
      </c>
      <c r="AA215" s="9">
        <f>DATEDIF(Table1[[#This Row],[DateofBirth]],"1-1-2020","y")</f>
        <v>35</v>
      </c>
      <c r="AB215" s="10" t="str" cm="1">
        <f t="array" ref="AB215">_xlfn.IFS(Table1[[#This Row],[age]]&lt; 20,"&lt;20",Table1[[#This Row],[age]]&lt; 30,"21-30",Table1[[#This Row],[age]]&lt; 40,"31-40", Table1[[#This Row],[age]]&lt; 50,"41-50",Table1[[#This Row],[age]]&lt; 60,"51-60",Table1[[#This Row],[age]]&lt;70,"60+")</f>
        <v>31-40</v>
      </c>
    </row>
    <row r="216" spans="1:28" ht="13.5" customHeight="1">
      <c r="A216" s="5" t="s">
        <v>368</v>
      </c>
      <c r="B216" s="6">
        <v>10286</v>
      </c>
      <c r="C216" s="6">
        <v>53564</v>
      </c>
      <c r="D216" s="6" t="s">
        <v>29</v>
      </c>
      <c r="E216" s="6" t="s">
        <v>30</v>
      </c>
      <c r="F216" s="6">
        <v>2458</v>
      </c>
      <c r="G216" s="7">
        <v>32219</v>
      </c>
      <c r="H216" s="6" t="s">
        <v>31</v>
      </c>
      <c r="I216" s="6" t="s">
        <v>32</v>
      </c>
      <c r="J216" s="6" t="s">
        <v>33</v>
      </c>
      <c r="K216" s="6" t="s">
        <v>34</v>
      </c>
      <c r="L216" s="6" t="s">
        <v>74</v>
      </c>
      <c r="M216" s="7">
        <v>40817</v>
      </c>
      <c r="N216" s="7">
        <v>43097</v>
      </c>
      <c r="O216" s="6" t="s">
        <v>45</v>
      </c>
      <c r="P216" s="6" t="s">
        <v>46</v>
      </c>
      <c r="Q216" s="6" t="s">
        <v>38</v>
      </c>
      <c r="R216" s="6" t="s">
        <v>61</v>
      </c>
      <c r="S216" s="6" t="s">
        <v>62</v>
      </c>
      <c r="T216" s="6" t="s">
        <v>110</v>
      </c>
      <c r="U216" s="6">
        <v>3.54</v>
      </c>
      <c r="V216" s="6">
        <v>5</v>
      </c>
      <c r="W216" s="6">
        <v>0</v>
      </c>
      <c r="X216" s="7">
        <v>42890</v>
      </c>
      <c r="Y216" s="6">
        <v>4</v>
      </c>
      <c r="Z216" s="8">
        <v>15</v>
      </c>
      <c r="AA216" s="9">
        <f>DATEDIF(Table1[[#This Row],[DateofBirth]],"1-1-2020","y")</f>
        <v>31</v>
      </c>
      <c r="AB216" s="10" t="str" cm="1">
        <f t="array" ref="AB216">_xlfn.IFS(Table1[[#This Row],[age]]&lt; 20,"&lt;20",Table1[[#This Row],[age]]&lt; 30,"21-30",Table1[[#This Row],[age]]&lt; 40,"31-40", Table1[[#This Row],[age]]&lt; 50,"41-50",Table1[[#This Row],[age]]&lt; 60,"51-60",Table1[[#This Row],[age]]&lt;70,"60+")</f>
        <v>31-40</v>
      </c>
    </row>
    <row r="217" spans="1:28" ht="13.5" customHeight="1">
      <c r="A217" s="5" t="s">
        <v>369</v>
      </c>
      <c r="B217" s="6">
        <v>10297</v>
      </c>
      <c r="C217" s="6">
        <v>60270</v>
      </c>
      <c r="D217" s="6" t="s">
        <v>52</v>
      </c>
      <c r="E217" s="6" t="s">
        <v>30</v>
      </c>
      <c r="F217" s="6">
        <v>2472</v>
      </c>
      <c r="G217" s="7">
        <v>32707</v>
      </c>
      <c r="H217" s="6" t="s">
        <v>53</v>
      </c>
      <c r="I217" s="6" t="s">
        <v>44</v>
      </c>
      <c r="J217" s="6" t="s">
        <v>33</v>
      </c>
      <c r="K217" s="6" t="s">
        <v>34</v>
      </c>
      <c r="L217" s="6" t="s">
        <v>104</v>
      </c>
      <c r="M217" s="7">
        <v>40670</v>
      </c>
      <c r="N217" s="7">
        <v>42262</v>
      </c>
      <c r="O217" s="6" t="s">
        <v>85</v>
      </c>
      <c r="P217" s="6" t="s">
        <v>46</v>
      </c>
      <c r="Q217" s="6" t="s">
        <v>38</v>
      </c>
      <c r="R217" s="6" t="s">
        <v>64</v>
      </c>
      <c r="S217" s="6" t="s">
        <v>109</v>
      </c>
      <c r="T217" s="6" t="s">
        <v>110</v>
      </c>
      <c r="U217" s="6">
        <v>2.4</v>
      </c>
      <c r="V217" s="6">
        <v>5</v>
      </c>
      <c r="W217" s="6">
        <v>0</v>
      </c>
      <c r="X217" s="7">
        <v>42157</v>
      </c>
      <c r="Y217" s="6">
        <v>5</v>
      </c>
      <c r="Z217" s="8">
        <v>2</v>
      </c>
      <c r="AA217" s="9">
        <f>DATEDIF(Table1[[#This Row],[DateofBirth]],"1-1-2020","y")</f>
        <v>30</v>
      </c>
      <c r="AB217" s="10" t="str" cm="1">
        <f t="array" ref="AB217">_xlfn.IFS(Table1[[#This Row],[age]]&lt; 20,"&lt;20",Table1[[#This Row],[age]]&lt; 30,"21-30",Table1[[#This Row],[age]]&lt; 40,"31-40", Table1[[#This Row],[age]]&lt; 50,"41-50",Table1[[#This Row],[age]]&lt; 60,"51-60",Table1[[#This Row],[age]]&lt;70,"60+")</f>
        <v>31-40</v>
      </c>
    </row>
    <row r="218" spans="1:28" ht="13.5" customHeight="1">
      <c r="A218" s="5" t="s">
        <v>370</v>
      </c>
      <c r="B218" s="6">
        <v>10171</v>
      </c>
      <c r="C218" s="6">
        <v>45998</v>
      </c>
      <c r="D218" s="6" t="s">
        <v>29</v>
      </c>
      <c r="E218" s="6" t="s">
        <v>30</v>
      </c>
      <c r="F218" s="6">
        <v>2176</v>
      </c>
      <c r="G218" s="7">
        <v>31613</v>
      </c>
      <c r="H218" s="6" t="s">
        <v>53</v>
      </c>
      <c r="I218" s="6" t="s">
        <v>32</v>
      </c>
      <c r="J218" s="6" t="s">
        <v>33</v>
      </c>
      <c r="K218" s="6" t="s">
        <v>34</v>
      </c>
      <c r="L218" s="6" t="s">
        <v>35</v>
      </c>
      <c r="M218" s="7">
        <v>40679</v>
      </c>
      <c r="N218" s="7">
        <v>42302</v>
      </c>
      <c r="O218" s="6" t="s">
        <v>371</v>
      </c>
      <c r="P218" s="6" t="s">
        <v>46</v>
      </c>
      <c r="Q218" s="6" t="s">
        <v>38</v>
      </c>
      <c r="R218" s="6" t="s">
        <v>64</v>
      </c>
      <c r="S218" s="6" t="s">
        <v>40</v>
      </c>
      <c r="T218" s="6" t="s">
        <v>50</v>
      </c>
      <c r="U218" s="6">
        <v>3.45</v>
      </c>
      <c r="V218" s="6">
        <v>4</v>
      </c>
      <c r="W218" s="6">
        <v>0</v>
      </c>
      <c r="X218" s="7">
        <v>41772</v>
      </c>
      <c r="Y218" s="6">
        <v>0</v>
      </c>
      <c r="Z218" s="8">
        <v>5</v>
      </c>
      <c r="AA218" s="9">
        <f>DATEDIF(Table1[[#This Row],[DateofBirth]],"1-1-2020","y")</f>
        <v>33</v>
      </c>
      <c r="AB218" s="10" t="str" cm="1">
        <f t="array" ref="AB218">_xlfn.IFS(Table1[[#This Row],[age]]&lt; 20,"&lt;20",Table1[[#This Row],[age]]&lt; 30,"21-30",Table1[[#This Row],[age]]&lt; 40,"31-40", Table1[[#This Row],[age]]&lt; 50,"41-50",Table1[[#This Row],[age]]&lt; 60,"51-60",Table1[[#This Row],[age]]&lt;70,"60+")</f>
        <v>31-40</v>
      </c>
    </row>
    <row r="219" spans="1:28" ht="13.5" customHeight="1">
      <c r="A219" s="5" t="s">
        <v>372</v>
      </c>
      <c r="B219" s="6">
        <v>10032</v>
      </c>
      <c r="C219" s="6">
        <v>57954</v>
      </c>
      <c r="D219" s="6" t="s">
        <v>52</v>
      </c>
      <c r="E219" s="6" t="s">
        <v>30</v>
      </c>
      <c r="F219" s="6">
        <v>1886</v>
      </c>
      <c r="G219" s="7">
        <v>31641</v>
      </c>
      <c r="H219" s="6" t="s">
        <v>53</v>
      </c>
      <c r="I219" s="6" t="s">
        <v>44</v>
      </c>
      <c r="J219" s="6" t="s">
        <v>33</v>
      </c>
      <c r="K219" s="6" t="s">
        <v>34</v>
      </c>
      <c r="L219" s="6" t="s">
        <v>35</v>
      </c>
      <c r="M219" s="7">
        <v>40679</v>
      </c>
      <c r="N219" s="7">
        <v>41366</v>
      </c>
      <c r="O219" s="6" t="s">
        <v>185</v>
      </c>
      <c r="P219" s="6" t="s">
        <v>46</v>
      </c>
      <c r="Q219" s="6" t="s">
        <v>38</v>
      </c>
      <c r="R219" s="6" t="s">
        <v>71</v>
      </c>
      <c r="S219" s="6" t="s">
        <v>49</v>
      </c>
      <c r="T219" s="6" t="s">
        <v>41</v>
      </c>
      <c r="U219" s="6">
        <v>4.2</v>
      </c>
      <c r="V219" s="6">
        <v>5</v>
      </c>
      <c r="W219" s="6">
        <v>0</v>
      </c>
      <c r="X219" s="7">
        <v>41548</v>
      </c>
      <c r="Y219" s="6">
        <v>0</v>
      </c>
      <c r="Z219" s="8">
        <v>12</v>
      </c>
      <c r="AA219" s="9">
        <f>DATEDIF(Table1[[#This Row],[DateofBirth]],"1-1-2020","y")</f>
        <v>33</v>
      </c>
      <c r="AB219" s="10" t="str" cm="1">
        <f t="array" ref="AB219">_xlfn.IFS(Table1[[#This Row],[age]]&lt; 20,"&lt;20",Table1[[#This Row],[age]]&lt; 30,"21-30",Table1[[#This Row],[age]]&lt; 40,"31-40", Table1[[#This Row],[age]]&lt; 50,"41-50",Table1[[#This Row],[age]]&lt; 60,"51-60",Table1[[#This Row],[age]]&lt;70,"60+")</f>
        <v>31-40</v>
      </c>
    </row>
    <row r="220" spans="1:28" ht="13.5" customHeight="1">
      <c r="A220" s="5" t="s">
        <v>373</v>
      </c>
      <c r="B220" s="6">
        <v>10130</v>
      </c>
      <c r="C220" s="6">
        <v>74669</v>
      </c>
      <c r="D220" s="6" t="s">
        <v>121</v>
      </c>
      <c r="E220" s="6" t="s">
        <v>30</v>
      </c>
      <c r="F220" s="6">
        <v>2030</v>
      </c>
      <c r="G220" s="7">
        <v>28373</v>
      </c>
      <c r="H220" s="6" t="s">
        <v>53</v>
      </c>
      <c r="I220" s="6" t="s">
        <v>44</v>
      </c>
      <c r="J220" s="6" t="s">
        <v>33</v>
      </c>
      <c r="K220" s="6" t="s">
        <v>34</v>
      </c>
      <c r="L220" s="6" t="s">
        <v>35</v>
      </c>
      <c r="M220" s="7">
        <v>40476</v>
      </c>
      <c r="N220" s="7">
        <v>42508</v>
      </c>
      <c r="O220" s="6" t="s">
        <v>82</v>
      </c>
      <c r="P220" s="6" t="s">
        <v>46</v>
      </c>
      <c r="Q220" s="6" t="s">
        <v>38</v>
      </c>
      <c r="R220" s="6" t="s">
        <v>123</v>
      </c>
      <c r="S220" s="6" t="s">
        <v>49</v>
      </c>
      <c r="T220" s="6" t="s">
        <v>50</v>
      </c>
      <c r="U220" s="6">
        <v>4.16</v>
      </c>
      <c r="V220" s="6">
        <v>5</v>
      </c>
      <c r="W220" s="6">
        <v>0</v>
      </c>
      <c r="X220" s="7">
        <v>42127</v>
      </c>
      <c r="Y220" s="6">
        <v>0</v>
      </c>
      <c r="Z220" s="8">
        <v>6</v>
      </c>
      <c r="AA220" s="9">
        <f>DATEDIF(Table1[[#This Row],[DateofBirth]],"1-1-2020","y")</f>
        <v>42</v>
      </c>
      <c r="AB220" s="10" t="str" cm="1">
        <f t="array" ref="AB220">_xlfn.IFS(Table1[[#This Row],[age]]&lt; 20,"&lt;20",Table1[[#This Row],[age]]&lt; 30,"21-30",Table1[[#This Row],[age]]&lt; 40,"31-40", Table1[[#This Row],[age]]&lt; 50,"41-50",Table1[[#This Row],[age]]&lt; 60,"51-60",Table1[[#This Row],[age]]&lt;70,"60+")</f>
        <v>41-50</v>
      </c>
    </row>
    <row r="221" spans="1:28" ht="13.5" customHeight="1">
      <c r="A221" s="5" t="s">
        <v>374</v>
      </c>
      <c r="B221" s="6">
        <v>10217</v>
      </c>
      <c r="C221" s="6">
        <v>74226</v>
      </c>
      <c r="D221" s="6" t="s">
        <v>52</v>
      </c>
      <c r="E221" s="6" t="s">
        <v>30</v>
      </c>
      <c r="F221" s="6">
        <v>2050</v>
      </c>
      <c r="G221" s="7">
        <v>29131</v>
      </c>
      <c r="H221" s="6" t="s">
        <v>53</v>
      </c>
      <c r="I221" s="6" t="s">
        <v>44</v>
      </c>
      <c r="J221" s="6" t="s">
        <v>99</v>
      </c>
      <c r="K221" s="6" t="s">
        <v>34</v>
      </c>
      <c r="L221" s="6" t="s">
        <v>104</v>
      </c>
      <c r="M221" s="7">
        <v>40943</v>
      </c>
      <c r="N221" s="7">
        <v>32874</v>
      </c>
      <c r="O221" s="6" t="s">
        <v>36</v>
      </c>
      <c r="P221" s="6" t="s">
        <v>37</v>
      </c>
      <c r="Q221" s="6" t="s">
        <v>38</v>
      </c>
      <c r="R221" s="6" t="s">
        <v>75</v>
      </c>
      <c r="S221" s="6" t="s">
        <v>40</v>
      </c>
      <c r="T221" s="6" t="s">
        <v>50</v>
      </c>
      <c r="U221" s="6">
        <v>4.3</v>
      </c>
      <c r="V221" s="6">
        <v>3</v>
      </c>
      <c r="W221" s="6">
        <v>0</v>
      </c>
      <c r="X221" s="7">
        <v>43479</v>
      </c>
      <c r="Y221" s="6">
        <v>0</v>
      </c>
      <c r="Z221" s="8">
        <v>14</v>
      </c>
      <c r="AA221" s="9">
        <f>DATEDIF(Table1[[#This Row],[DateofBirth]],"1-1-2020","y")</f>
        <v>40</v>
      </c>
      <c r="AB221" s="10" t="str" cm="1">
        <f t="array" ref="AB221">_xlfn.IFS(Table1[[#This Row],[age]]&lt; 20,"&lt;20",Table1[[#This Row],[age]]&lt; 30,"21-30",Table1[[#This Row],[age]]&lt; 40,"31-40", Table1[[#This Row],[age]]&lt; 50,"41-50",Table1[[#This Row],[age]]&lt; 60,"51-60",Table1[[#This Row],[age]]&lt;70,"60+")</f>
        <v>41-50</v>
      </c>
    </row>
    <row r="222" spans="1:28" ht="13.5" customHeight="1">
      <c r="A222" s="5" t="s">
        <v>375</v>
      </c>
      <c r="B222" s="6">
        <v>10016</v>
      </c>
      <c r="C222" s="6">
        <v>93554</v>
      </c>
      <c r="D222" s="6" t="s">
        <v>87</v>
      </c>
      <c r="E222" s="6" t="s">
        <v>30</v>
      </c>
      <c r="F222" s="6">
        <v>1886</v>
      </c>
      <c r="G222" s="7">
        <v>30941</v>
      </c>
      <c r="H222" s="6" t="s">
        <v>53</v>
      </c>
      <c r="I222" s="6" t="s">
        <v>44</v>
      </c>
      <c r="J222" s="6" t="s">
        <v>33</v>
      </c>
      <c r="K222" s="6" t="s">
        <v>34</v>
      </c>
      <c r="L222" s="6" t="s">
        <v>74</v>
      </c>
      <c r="M222" s="7">
        <v>41923</v>
      </c>
      <c r="N222" s="7">
        <v>32874</v>
      </c>
      <c r="O222" s="6" t="s">
        <v>36</v>
      </c>
      <c r="P222" s="6" t="s">
        <v>37</v>
      </c>
      <c r="Q222" s="6" t="s">
        <v>47</v>
      </c>
      <c r="R222" s="6" t="s">
        <v>48</v>
      </c>
      <c r="S222" s="6" t="s">
        <v>72</v>
      </c>
      <c r="T222" s="6" t="s">
        <v>41</v>
      </c>
      <c r="U222" s="6">
        <v>4.5999999999999996</v>
      </c>
      <c r="V222" s="6">
        <v>5</v>
      </c>
      <c r="W222" s="6">
        <v>7</v>
      </c>
      <c r="X222" s="7">
        <v>43556</v>
      </c>
      <c r="Y222" s="6">
        <v>0</v>
      </c>
      <c r="Z222" s="8">
        <v>16</v>
      </c>
      <c r="AA222" s="9">
        <f>DATEDIF(Table1[[#This Row],[DateofBirth]],"1-1-2020","y")</f>
        <v>35</v>
      </c>
      <c r="AB222" s="10" t="str" cm="1">
        <f t="array" ref="AB222">_xlfn.IFS(Table1[[#This Row],[age]]&lt; 20,"&lt;20",Table1[[#This Row],[age]]&lt; 30,"21-30",Table1[[#This Row],[age]]&lt; 40,"31-40", Table1[[#This Row],[age]]&lt; 50,"41-50",Table1[[#This Row],[age]]&lt; 60,"51-60",Table1[[#This Row],[age]]&lt;70,"60+")</f>
        <v>31-40</v>
      </c>
    </row>
    <row r="223" spans="1:28" ht="13.5" customHeight="1">
      <c r="A223" s="5" t="s">
        <v>376</v>
      </c>
      <c r="B223" s="6">
        <v>10050</v>
      </c>
      <c r="C223" s="6">
        <v>64724</v>
      </c>
      <c r="D223" s="6" t="s">
        <v>29</v>
      </c>
      <c r="E223" s="6" t="s">
        <v>30</v>
      </c>
      <c r="F223" s="6">
        <v>2451</v>
      </c>
      <c r="G223" s="7">
        <v>32297</v>
      </c>
      <c r="H223" s="6" t="s">
        <v>31</v>
      </c>
      <c r="I223" s="6" t="s">
        <v>44</v>
      </c>
      <c r="J223" s="6" t="s">
        <v>33</v>
      </c>
      <c r="K223" s="6" t="s">
        <v>34</v>
      </c>
      <c r="L223" s="6" t="s">
        <v>104</v>
      </c>
      <c r="M223" s="7">
        <v>40670</v>
      </c>
      <c r="N223" s="7">
        <v>41243</v>
      </c>
      <c r="O223" s="6" t="s">
        <v>185</v>
      </c>
      <c r="P223" s="6" t="s">
        <v>46</v>
      </c>
      <c r="Q223" s="6" t="s">
        <v>38</v>
      </c>
      <c r="R223" s="6" t="s">
        <v>75</v>
      </c>
      <c r="S223" s="6" t="s">
        <v>62</v>
      </c>
      <c r="T223" s="6" t="s">
        <v>50</v>
      </c>
      <c r="U223" s="6">
        <v>5</v>
      </c>
      <c r="V223" s="6">
        <v>3</v>
      </c>
      <c r="W223" s="6">
        <v>0</v>
      </c>
      <c r="X223" s="7">
        <v>40959</v>
      </c>
      <c r="Y223" s="6">
        <v>0</v>
      </c>
      <c r="Z223" s="8">
        <v>13</v>
      </c>
      <c r="AA223" s="9">
        <f>DATEDIF(Table1[[#This Row],[DateofBirth]],"1-1-2020","y")</f>
        <v>31</v>
      </c>
      <c r="AB223" s="10" t="str" cm="1">
        <f t="array" ref="AB223">_xlfn.IFS(Table1[[#This Row],[age]]&lt; 20,"&lt;20",Table1[[#This Row],[age]]&lt; 30,"21-30",Table1[[#This Row],[age]]&lt; 40,"31-40", Table1[[#This Row],[age]]&lt; 50,"41-50",Table1[[#This Row],[age]]&lt; 60,"51-60",Table1[[#This Row],[age]]&lt;70,"60+")</f>
        <v>31-40</v>
      </c>
    </row>
    <row r="224" spans="1:28" ht="13.5" customHeight="1">
      <c r="A224" s="5" t="s">
        <v>377</v>
      </c>
      <c r="B224" s="6">
        <v>10164</v>
      </c>
      <c r="C224" s="6">
        <v>47001</v>
      </c>
      <c r="D224" s="6" t="s">
        <v>29</v>
      </c>
      <c r="E224" s="6" t="s">
        <v>30</v>
      </c>
      <c r="F224" s="6">
        <v>2451</v>
      </c>
      <c r="G224" s="7">
        <v>29913</v>
      </c>
      <c r="H224" s="6" t="s">
        <v>31</v>
      </c>
      <c r="I224" s="6" t="s">
        <v>32</v>
      </c>
      <c r="J224" s="6" t="s">
        <v>33</v>
      </c>
      <c r="K224" s="6" t="s">
        <v>34</v>
      </c>
      <c r="L224" s="6" t="s">
        <v>35</v>
      </c>
      <c r="M224" s="7">
        <v>39213</v>
      </c>
      <c r="N224" s="7">
        <v>32874</v>
      </c>
      <c r="O224" s="6" t="s">
        <v>36</v>
      </c>
      <c r="P224" s="6" t="s">
        <v>37</v>
      </c>
      <c r="Q224" s="6" t="s">
        <v>38</v>
      </c>
      <c r="R224" s="6" t="s">
        <v>83</v>
      </c>
      <c r="S224" s="6" t="s">
        <v>62</v>
      </c>
      <c r="T224" s="6" t="s">
        <v>50</v>
      </c>
      <c r="U224" s="6">
        <v>3.66</v>
      </c>
      <c r="V224" s="6">
        <v>3</v>
      </c>
      <c r="W224" s="6">
        <v>0</v>
      </c>
      <c r="X224" s="7">
        <v>43521</v>
      </c>
      <c r="Y224" s="6">
        <v>0</v>
      </c>
      <c r="Z224" s="8">
        <v>15</v>
      </c>
      <c r="AA224" s="9">
        <f>DATEDIF(Table1[[#This Row],[DateofBirth]],"1-1-2020","y")</f>
        <v>38</v>
      </c>
      <c r="AB224" s="10" t="str" cm="1">
        <f t="array" ref="AB224">_xlfn.IFS(Table1[[#This Row],[age]]&lt; 20,"&lt;20",Table1[[#This Row],[age]]&lt; 30,"21-30",Table1[[#This Row],[age]]&lt; 40,"31-40", Table1[[#This Row],[age]]&lt; 50,"41-50",Table1[[#This Row],[age]]&lt; 60,"51-60",Table1[[#This Row],[age]]&lt;70,"60+")</f>
        <v>31-40</v>
      </c>
    </row>
    <row r="225" spans="1:28" ht="13.5" customHeight="1">
      <c r="A225" s="5" t="s">
        <v>378</v>
      </c>
      <c r="B225" s="6">
        <v>10124</v>
      </c>
      <c r="C225" s="6">
        <v>61844</v>
      </c>
      <c r="D225" s="6" t="s">
        <v>131</v>
      </c>
      <c r="E225" s="6" t="s">
        <v>379</v>
      </c>
      <c r="F225" s="6">
        <v>40220</v>
      </c>
      <c r="G225" s="7">
        <v>32384</v>
      </c>
      <c r="H225" s="6" t="s">
        <v>53</v>
      </c>
      <c r="I225" s="6" t="s">
        <v>44</v>
      </c>
      <c r="J225" s="6" t="s">
        <v>33</v>
      </c>
      <c r="K225" s="6" t="s">
        <v>34</v>
      </c>
      <c r="L225" s="6" t="s">
        <v>74</v>
      </c>
      <c r="M225" s="7">
        <v>41153</v>
      </c>
      <c r="N225" s="7">
        <v>32874</v>
      </c>
      <c r="O225" s="6" t="s">
        <v>36</v>
      </c>
      <c r="P225" s="6" t="s">
        <v>37</v>
      </c>
      <c r="Q225" s="6" t="s">
        <v>133</v>
      </c>
      <c r="R225" s="6" t="s">
        <v>152</v>
      </c>
      <c r="S225" s="6" t="s">
        <v>193</v>
      </c>
      <c r="T225" s="6" t="s">
        <v>50</v>
      </c>
      <c r="U225" s="6">
        <v>4.2</v>
      </c>
      <c r="V225" s="6">
        <v>5</v>
      </c>
      <c r="W225" s="6">
        <v>0</v>
      </c>
      <c r="X225" s="7">
        <v>43467</v>
      </c>
      <c r="Y225" s="6">
        <v>0</v>
      </c>
      <c r="Z225" s="8">
        <v>9</v>
      </c>
      <c r="AA225" s="9">
        <f>DATEDIF(Table1[[#This Row],[DateofBirth]],"1-1-2020","y")</f>
        <v>31</v>
      </c>
      <c r="AB225" s="10" t="str" cm="1">
        <f t="array" ref="AB225">_xlfn.IFS(Table1[[#This Row],[age]]&lt; 20,"&lt;20",Table1[[#This Row],[age]]&lt; 30,"21-30",Table1[[#This Row],[age]]&lt; 40,"31-40", Table1[[#This Row],[age]]&lt; 50,"41-50",Table1[[#This Row],[age]]&lt; 60,"51-60",Table1[[#This Row],[age]]&lt;70,"60+")</f>
        <v>31-40</v>
      </c>
    </row>
    <row r="226" spans="1:28" ht="13.5" customHeight="1">
      <c r="A226" s="5" t="s">
        <v>380</v>
      </c>
      <c r="B226" s="6">
        <v>10187</v>
      </c>
      <c r="C226" s="6">
        <v>46799</v>
      </c>
      <c r="D226" s="6" t="s">
        <v>29</v>
      </c>
      <c r="E226" s="6" t="s">
        <v>30</v>
      </c>
      <c r="F226" s="6">
        <v>1742</v>
      </c>
      <c r="G226" s="7">
        <v>30970</v>
      </c>
      <c r="H226" s="6" t="s">
        <v>53</v>
      </c>
      <c r="I226" s="6" t="s">
        <v>59</v>
      </c>
      <c r="J226" s="6" t="s">
        <v>99</v>
      </c>
      <c r="K226" s="6" t="s">
        <v>34</v>
      </c>
      <c r="L226" s="6" t="s">
        <v>104</v>
      </c>
      <c r="M226" s="7">
        <v>40679</v>
      </c>
      <c r="N226" s="7">
        <v>43196</v>
      </c>
      <c r="O226" s="6" t="s">
        <v>82</v>
      </c>
      <c r="P226" s="6" t="s">
        <v>46</v>
      </c>
      <c r="Q226" s="6" t="s">
        <v>38</v>
      </c>
      <c r="R226" s="6" t="s">
        <v>55</v>
      </c>
      <c r="S226" s="6" t="s">
        <v>62</v>
      </c>
      <c r="T226" s="6" t="s">
        <v>50</v>
      </c>
      <c r="U226" s="6">
        <v>3.17</v>
      </c>
      <c r="V226" s="6">
        <v>4</v>
      </c>
      <c r="W226" s="6">
        <v>0</v>
      </c>
      <c r="X226" s="7">
        <v>43135</v>
      </c>
      <c r="Y226" s="6">
        <v>0</v>
      </c>
      <c r="Z226" s="8">
        <v>14</v>
      </c>
      <c r="AA226" s="9">
        <f>DATEDIF(Table1[[#This Row],[DateofBirth]],"1-1-2020","y")</f>
        <v>35</v>
      </c>
      <c r="AB226" s="10" t="str" cm="1">
        <f t="array" ref="AB226">_xlfn.IFS(Table1[[#This Row],[age]]&lt; 20,"&lt;20",Table1[[#This Row],[age]]&lt; 30,"21-30",Table1[[#This Row],[age]]&lt; 40,"31-40", Table1[[#This Row],[age]]&lt; 50,"41-50",Table1[[#This Row],[age]]&lt; 60,"51-60",Table1[[#This Row],[age]]&lt;70,"60+")</f>
        <v>31-40</v>
      </c>
    </row>
    <row r="227" spans="1:28" ht="13.5" customHeight="1">
      <c r="A227" s="5" t="s">
        <v>381</v>
      </c>
      <c r="B227" s="6">
        <v>10225</v>
      </c>
      <c r="C227" s="6">
        <v>59472</v>
      </c>
      <c r="D227" s="6" t="s">
        <v>29</v>
      </c>
      <c r="E227" s="6" t="s">
        <v>30</v>
      </c>
      <c r="F227" s="6">
        <v>2109</v>
      </c>
      <c r="G227" s="7">
        <v>22451</v>
      </c>
      <c r="H227" s="6" t="s">
        <v>31</v>
      </c>
      <c r="I227" s="6" t="s">
        <v>32</v>
      </c>
      <c r="J227" s="6" t="s">
        <v>33</v>
      </c>
      <c r="K227" s="6" t="s">
        <v>34</v>
      </c>
      <c r="L227" s="6" t="s">
        <v>35</v>
      </c>
      <c r="M227" s="7">
        <v>41791</v>
      </c>
      <c r="N227" s="7">
        <v>32874</v>
      </c>
      <c r="O227" s="6" t="s">
        <v>36</v>
      </c>
      <c r="P227" s="6" t="s">
        <v>37</v>
      </c>
      <c r="Q227" s="6" t="s">
        <v>38</v>
      </c>
      <c r="R227" s="6" t="s">
        <v>91</v>
      </c>
      <c r="S227" s="6" t="s">
        <v>72</v>
      </c>
      <c r="T227" s="6" t="s">
        <v>50</v>
      </c>
      <c r="U227" s="6">
        <v>4.8</v>
      </c>
      <c r="V227" s="6">
        <v>3</v>
      </c>
      <c r="W227" s="6">
        <v>0</v>
      </c>
      <c r="X227" s="7">
        <v>43647</v>
      </c>
      <c r="Y227" s="6">
        <v>0</v>
      </c>
      <c r="Z227" s="8">
        <v>14</v>
      </c>
      <c r="AA227" s="9">
        <f>DATEDIF(Table1[[#This Row],[DateofBirth]],"1-1-2020","y")</f>
        <v>58</v>
      </c>
      <c r="AB227" s="10" t="str" cm="1">
        <f t="array" ref="AB227">_xlfn.IFS(Table1[[#This Row],[age]]&lt; 20,"&lt;20",Table1[[#This Row],[age]]&lt; 30,"21-30",Table1[[#This Row],[age]]&lt; 40,"31-40", Table1[[#This Row],[age]]&lt; 50,"41-50",Table1[[#This Row],[age]]&lt; 60,"51-60",Table1[[#This Row],[age]]&lt;70,"60+")</f>
        <v>51-60</v>
      </c>
    </row>
    <row r="228" spans="1:28" ht="13.5" customHeight="1">
      <c r="A228" s="5" t="s">
        <v>382</v>
      </c>
      <c r="B228" s="6">
        <v>10262</v>
      </c>
      <c r="C228" s="6">
        <v>46430</v>
      </c>
      <c r="D228" s="6" t="s">
        <v>29</v>
      </c>
      <c r="E228" s="6" t="s">
        <v>30</v>
      </c>
      <c r="F228" s="6">
        <v>2474</v>
      </c>
      <c r="G228" s="7">
        <v>25833</v>
      </c>
      <c r="H228" s="6" t="s">
        <v>53</v>
      </c>
      <c r="I228" s="6" t="s">
        <v>59</v>
      </c>
      <c r="J228" s="6" t="s">
        <v>33</v>
      </c>
      <c r="K228" s="6" t="s">
        <v>34</v>
      </c>
      <c r="L228" s="6" t="s">
        <v>35</v>
      </c>
      <c r="M228" s="7">
        <v>41176</v>
      </c>
      <c r="N228" s="7">
        <v>41443</v>
      </c>
      <c r="O228" s="6" t="s">
        <v>85</v>
      </c>
      <c r="P228" s="6" t="s">
        <v>46</v>
      </c>
      <c r="Q228" s="6" t="s">
        <v>38</v>
      </c>
      <c r="R228" s="6" t="s">
        <v>55</v>
      </c>
      <c r="S228" s="6" t="s">
        <v>49</v>
      </c>
      <c r="T228" s="6" t="s">
        <v>50</v>
      </c>
      <c r="U228" s="6">
        <v>4.5</v>
      </c>
      <c r="V228" s="6">
        <v>5</v>
      </c>
      <c r="W228" s="6">
        <v>0</v>
      </c>
      <c r="X228" s="7">
        <v>41309</v>
      </c>
      <c r="Y228" s="6">
        <v>0</v>
      </c>
      <c r="Z228" s="8">
        <v>16</v>
      </c>
      <c r="AA228" s="9">
        <f>DATEDIF(Table1[[#This Row],[DateofBirth]],"1-1-2020","y")</f>
        <v>49</v>
      </c>
      <c r="AB228" s="10" t="str" cm="1">
        <f t="array" ref="AB228">_xlfn.IFS(Table1[[#This Row],[age]]&lt; 20,"&lt;20",Table1[[#This Row],[age]]&lt; 30,"21-30",Table1[[#This Row],[age]]&lt; 40,"31-40", Table1[[#This Row],[age]]&lt; 50,"41-50",Table1[[#This Row],[age]]&lt; 60,"51-60",Table1[[#This Row],[age]]&lt;70,"60+")</f>
        <v>41-50</v>
      </c>
    </row>
    <row r="229" spans="1:28" ht="13.5" customHeight="1">
      <c r="A229" s="5" t="s">
        <v>383</v>
      </c>
      <c r="B229" s="6">
        <v>10131</v>
      </c>
      <c r="C229" s="6">
        <v>83363</v>
      </c>
      <c r="D229" s="6" t="s">
        <v>66</v>
      </c>
      <c r="E229" s="6" t="s">
        <v>30</v>
      </c>
      <c r="F229" s="6">
        <v>2045</v>
      </c>
      <c r="G229" s="7">
        <v>30844</v>
      </c>
      <c r="H229" s="6" t="s">
        <v>31</v>
      </c>
      <c r="I229" s="6" t="s">
        <v>44</v>
      </c>
      <c r="J229" s="6" t="s">
        <v>99</v>
      </c>
      <c r="K229" s="6" t="s">
        <v>34</v>
      </c>
      <c r="L229" s="6" t="s">
        <v>74</v>
      </c>
      <c r="M229" s="7">
        <v>40595</v>
      </c>
      <c r="N229" s="7">
        <v>42231</v>
      </c>
      <c r="O229" s="6" t="s">
        <v>45</v>
      </c>
      <c r="P229" s="6" t="s">
        <v>46</v>
      </c>
      <c r="Q229" s="6" t="s">
        <v>67</v>
      </c>
      <c r="R229" s="6" t="s">
        <v>123</v>
      </c>
      <c r="S229" s="6" t="s">
        <v>76</v>
      </c>
      <c r="T229" s="6" t="s">
        <v>50</v>
      </c>
      <c r="U229" s="6">
        <v>4.1500000000000004</v>
      </c>
      <c r="V229" s="6">
        <v>4</v>
      </c>
      <c r="W229" s="6">
        <v>0</v>
      </c>
      <c r="X229" s="7">
        <v>41748</v>
      </c>
      <c r="Y229" s="6">
        <v>0</v>
      </c>
      <c r="Z229" s="8">
        <v>4</v>
      </c>
      <c r="AA229" s="9">
        <f>DATEDIF(Table1[[#This Row],[DateofBirth]],"1-1-2020","y")</f>
        <v>35</v>
      </c>
      <c r="AB229" s="10" t="str" cm="1">
        <f t="array" ref="AB229">_xlfn.IFS(Table1[[#This Row],[age]]&lt; 20,"&lt;20",Table1[[#This Row],[age]]&lt; 30,"21-30",Table1[[#This Row],[age]]&lt; 40,"31-40", Table1[[#This Row],[age]]&lt; 50,"41-50",Table1[[#This Row],[age]]&lt; 60,"51-60",Table1[[#This Row],[age]]&lt;70,"60+")</f>
        <v>31-40</v>
      </c>
    </row>
    <row r="230" spans="1:28" ht="13.5" customHeight="1">
      <c r="A230" s="5" t="s">
        <v>384</v>
      </c>
      <c r="B230" s="6">
        <v>10239</v>
      </c>
      <c r="C230" s="6">
        <v>95920</v>
      </c>
      <c r="D230" s="6" t="s">
        <v>188</v>
      </c>
      <c r="E230" s="6" t="s">
        <v>30</v>
      </c>
      <c r="F230" s="6">
        <v>2110</v>
      </c>
      <c r="G230" s="7">
        <v>29560</v>
      </c>
      <c r="H230" s="6" t="s">
        <v>53</v>
      </c>
      <c r="I230" s="6" t="s">
        <v>44</v>
      </c>
      <c r="J230" s="6" t="s">
        <v>33</v>
      </c>
      <c r="K230" s="6" t="s">
        <v>34</v>
      </c>
      <c r="L230" s="6" t="s">
        <v>74</v>
      </c>
      <c r="M230" s="7">
        <v>42410</v>
      </c>
      <c r="N230" s="7">
        <v>32874</v>
      </c>
      <c r="O230" s="6" t="s">
        <v>36</v>
      </c>
      <c r="P230" s="6" t="s">
        <v>37</v>
      </c>
      <c r="Q230" s="6" t="s">
        <v>47</v>
      </c>
      <c r="R230" s="6" t="s">
        <v>189</v>
      </c>
      <c r="S230" s="6" t="s">
        <v>49</v>
      </c>
      <c r="T230" s="6" t="s">
        <v>50</v>
      </c>
      <c r="U230" s="6">
        <v>4.4000000000000004</v>
      </c>
      <c r="V230" s="6">
        <v>4</v>
      </c>
      <c r="W230" s="6">
        <v>6</v>
      </c>
      <c r="X230" s="7">
        <v>43618</v>
      </c>
      <c r="Y230" s="6">
        <v>0</v>
      </c>
      <c r="Z230" s="8">
        <v>10</v>
      </c>
      <c r="AA230" s="9">
        <f>DATEDIF(Table1[[#This Row],[DateofBirth]],"1-1-2020","y")</f>
        <v>39</v>
      </c>
      <c r="AB230" s="10" t="str" cm="1">
        <f t="array" ref="AB230">_xlfn.IFS(Table1[[#This Row],[age]]&lt; 20,"&lt;20",Table1[[#This Row],[age]]&lt; 30,"21-30",Table1[[#This Row],[age]]&lt; 40,"31-40", Table1[[#This Row],[age]]&lt; 50,"41-50",Table1[[#This Row],[age]]&lt; 60,"51-60",Table1[[#This Row],[age]]&lt;70,"60+")</f>
        <v>31-40</v>
      </c>
    </row>
    <row r="231" spans="1:28" ht="13.5" customHeight="1">
      <c r="A231" s="5" t="s">
        <v>385</v>
      </c>
      <c r="B231" s="6">
        <v>10152</v>
      </c>
      <c r="C231" s="6">
        <v>61729</v>
      </c>
      <c r="D231" s="6" t="s">
        <v>29</v>
      </c>
      <c r="E231" s="6" t="s">
        <v>30</v>
      </c>
      <c r="F231" s="6">
        <v>2478</v>
      </c>
      <c r="G231" s="7">
        <v>31047</v>
      </c>
      <c r="H231" s="6" t="s">
        <v>31</v>
      </c>
      <c r="I231" s="6" t="s">
        <v>59</v>
      </c>
      <c r="J231" s="6" t="s">
        <v>33</v>
      </c>
      <c r="K231" s="6" t="s">
        <v>34</v>
      </c>
      <c r="L231" s="6" t="s">
        <v>35</v>
      </c>
      <c r="M231" s="7">
        <v>40812</v>
      </c>
      <c r="N231" s="7">
        <v>43285</v>
      </c>
      <c r="O231" s="6" t="s">
        <v>185</v>
      </c>
      <c r="P231" s="6" t="s">
        <v>46</v>
      </c>
      <c r="Q231" s="6" t="s">
        <v>38</v>
      </c>
      <c r="R231" s="6" t="s">
        <v>39</v>
      </c>
      <c r="S231" s="6" t="s">
        <v>49</v>
      </c>
      <c r="T231" s="6" t="s">
        <v>50</v>
      </c>
      <c r="U231" s="6">
        <v>3.8</v>
      </c>
      <c r="V231" s="6">
        <v>5</v>
      </c>
      <c r="W231" s="6">
        <v>0</v>
      </c>
      <c r="X231" s="7">
        <v>43192</v>
      </c>
      <c r="Y231" s="6">
        <v>0</v>
      </c>
      <c r="Z231" s="8">
        <v>19</v>
      </c>
      <c r="AA231" s="9">
        <f>DATEDIF(Table1[[#This Row],[DateofBirth]],"1-1-2020","y")</f>
        <v>35</v>
      </c>
      <c r="AB231" s="10" t="str" cm="1">
        <f t="array" ref="AB231">_xlfn.IFS(Table1[[#This Row],[age]]&lt; 20,"&lt;20",Table1[[#This Row],[age]]&lt; 30,"21-30",Table1[[#This Row],[age]]&lt; 40,"31-40", Table1[[#This Row],[age]]&lt; 50,"41-50",Table1[[#This Row],[age]]&lt; 60,"51-60",Table1[[#This Row],[age]]&lt;70,"60+")</f>
        <v>31-40</v>
      </c>
    </row>
    <row r="232" spans="1:28" ht="13.5" customHeight="1">
      <c r="A232" s="5" t="s">
        <v>386</v>
      </c>
      <c r="B232" s="6">
        <v>10140</v>
      </c>
      <c r="C232" s="6">
        <v>61809</v>
      </c>
      <c r="D232" s="6" t="s">
        <v>131</v>
      </c>
      <c r="E232" s="6" t="s">
        <v>387</v>
      </c>
      <c r="F232" s="6">
        <v>83706</v>
      </c>
      <c r="G232" s="7">
        <v>20068</v>
      </c>
      <c r="H232" s="6" t="s">
        <v>31</v>
      </c>
      <c r="I232" s="6" t="s">
        <v>44</v>
      </c>
      <c r="J232" s="6" t="s">
        <v>33</v>
      </c>
      <c r="K232" s="6" t="s">
        <v>34</v>
      </c>
      <c r="L232" s="6" t="s">
        <v>35</v>
      </c>
      <c r="M232" s="7">
        <v>41978</v>
      </c>
      <c r="N232" s="7">
        <v>32874</v>
      </c>
      <c r="O232" s="6" t="s">
        <v>36</v>
      </c>
      <c r="P232" s="6" t="s">
        <v>37</v>
      </c>
      <c r="Q232" s="6" t="s">
        <v>133</v>
      </c>
      <c r="R232" s="6" t="s">
        <v>134</v>
      </c>
      <c r="S232" s="6" t="s">
        <v>109</v>
      </c>
      <c r="T232" s="6" t="s">
        <v>50</v>
      </c>
      <c r="U232" s="6">
        <v>3.98</v>
      </c>
      <c r="V232" s="6">
        <v>3</v>
      </c>
      <c r="W232" s="6">
        <v>0</v>
      </c>
      <c r="X232" s="7">
        <v>43493</v>
      </c>
      <c r="Y232" s="6">
        <v>0</v>
      </c>
      <c r="Z232" s="8">
        <v>4</v>
      </c>
      <c r="AA232" s="9">
        <f>DATEDIF(Table1[[#This Row],[DateofBirth]],"1-1-2020","y")</f>
        <v>65</v>
      </c>
      <c r="AB232" s="10" t="str" cm="1">
        <f t="array" ref="AB232">_xlfn.IFS(Table1[[#This Row],[age]]&lt; 20,"&lt;20",Table1[[#This Row],[age]]&lt; 30,"21-30",Table1[[#This Row],[age]]&lt; 40,"31-40", Table1[[#This Row],[age]]&lt; 50,"41-50",Table1[[#This Row],[age]]&lt; 60,"51-60",Table1[[#This Row],[age]]&lt;70,"60+")</f>
        <v>60+</v>
      </c>
    </row>
    <row r="233" spans="1:28" ht="13.5" customHeight="1">
      <c r="A233" s="5" t="s">
        <v>388</v>
      </c>
      <c r="B233" s="6">
        <v>10058</v>
      </c>
      <c r="C233" s="6">
        <v>45115</v>
      </c>
      <c r="D233" s="6" t="s">
        <v>29</v>
      </c>
      <c r="E233" s="6" t="s">
        <v>30</v>
      </c>
      <c r="F233" s="6">
        <v>2176</v>
      </c>
      <c r="G233" s="7">
        <v>30154</v>
      </c>
      <c r="H233" s="6" t="s">
        <v>31</v>
      </c>
      <c r="I233" s="6" t="s">
        <v>59</v>
      </c>
      <c r="J233" s="6" t="s">
        <v>33</v>
      </c>
      <c r="K233" s="6" t="s">
        <v>81</v>
      </c>
      <c r="L233" s="6" t="s">
        <v>35</v>
      </c>
      <c r="M233" s="7">
        <v>40679</v>
      </c>
      <c r="N233" s="7">
        <v>42384</v>
      </c>
      <c r="O233" s="6" t="s">
        <v>122</v>
      </c>
      <c r="P233" s="6" t="s">
        <v>46</v>
      </c>
      <c r="Q233" s="6" t="s">
        <v>38</v>
      </c>
      <c r="R233" s="6" t="s">
        <v>57</v>
      </c>
      <c r="S233" s="6" t="s">
        <v>40</v>
      </c>
      <c r="T233" s="6" t="s">
        <v>50</v>
      </c>
      <c r="U233" s="6">
        <v>5</v>
      </c>
      <c r="V233" s="6">
        <v>4</v>
      </c>
      <c r="W233" s="6">
        <v>0</v>
      </c>
      <c r="X233" s="7">
        <v>42093</v>
      </c>
      <c r="Y233" s="6">
        <v>0</v>
      </c>
      <c r="Z233" s="8">
        <v>11</v>
      </c>
      <c r="AA233" s="9">
        <f>DATEDIF(Table1[[#This Row],[DateofBirth]],"1-1-2020","y")</f>
        <v>37</v>
      </c>
      <c r="AB233" s="10" t="str" cm="1">
        <f t="array" ref="AB233">_xlfn.IFS(Table1[[#This Row],[age]]&lt; 20,"&lt;20",Table1[[#This Row],[age]]&lt; 30,"21-30",Table1[[#This Row],[age]]&lt; 40,"31-40", Table1[[#This Row],[age]]&lt; 50,"41-50",Table1[[#This Row],[age]]&lt; 60,"51-60",Table1[[#This Row],[age]]&lt;70,"60+")</f>
        <v>31-40</v>
      </c>
    </row>
    <row r="234" spans="1:28" ht="13.5" customHeight="1">
      <c r="A234" s="5" t="s">
        <v>389</v>
      </c>
      <c r="B234" s="6">
        <v>10011</v>
      </c>
      <c r="C234" s="6">
        <v>46738</v>
      </c>
      <c r="D234" s="6" t="s">
        <v>29</v>
      </c>
      <c r="E234" s="6" t="s">
        <v>30</v>
      </c>
      <c r="F234" s="6">
        <v>2171</v>
      </c>
      <c r="G234" s="7">
        <v>26999</v>
      </c>
      <c r="H234" s="6" t="s">
        <v>53</v>
      </c>
      <c r="I234" s="6" t="s">
        <v>44</v>
      </c>
      <c r="J234" s="6" t="s">
        <v>33</v>
      </c>
      <c r="K234" s="6" t="s">
        <v>34</v>
      </c>
      <c r="L234" s="6" t="s">
        <v>104</v>
      </c>
      <c r="M234" s="7">
        <v>40875</v>
      </c>
      <c r="N234" s="7">
        <v>32874</v>
      </c>
      <c r="O234" s="6" t="s">
        <v>36</v>
      </c>
      <c r="P234" s="6" t="s">
        <v>37</v>
      </c>
      <c r="Q234" s="6" t="s">
        <v>38</v>
      </c>
      <c r="R234" s="6" t="s">
        <v>61</v>
      </c>
      <c r="S234" s="6" t="s">
        <v>62</v>
      </c>
      <c r="T234" s="6" t="s">
        <v>41</v>
      </c>
      <c r="U234" s="6">
        <v>4.3600000000000003</v>
      </c>
      <c r="V234" s="6">
        <v>5</v>
      </c>
      <c r="W234" s="6">
        <v>0</v>
      </c>
      <c r="X234" s="7">
        <v>43771</v>
      </c>
      <c r="Y234" s="6">
        <v>0</v>
      </c>
      <c r="Z234" s="8">
        <v>16</v>
      </c>
      <c r="AA234" s="9">
        <f>DATEDIF(Table1[[#This Row],[DateofBirth]],"1-1-2020","y")</f>
        <v>46</v>
      </c>
      <c r="AB234" s="10" t="str" cm="1">
        <f t="array" ref="AB234">_xlfn.IFS(Table1[[#This Row],[age]]&lt; 20,"&lt;20",Table1[[#This Row],[age]]&lt; 30,"21-30",Table1[[#This Row],[age]]&lt; 40,"31-40", Table1[[#This Row],[age]]&lt; 50,"41-50",Table1[[#This Row],[age]]&lt; 60,"51-60",Table1[[#This Row],[age]]&lt;70,"60+")</f>
        <v>41-50</v>
      </c>
    </row>
    <row r="235" spans="1:28" ht="13.5" customHeight="1">
      <c r="A235" s="5" t="s">
        <v>390</v>
      </c>
      <c r="B235" s="6">
        <v>10230</v>
      </c>
      <c r="C235" s="6">
        <v>64971</v>
      </c>
      <c r="D235" s="6" t="s">
        <v>52</v>
      </c>
      <c r="E235" s="6" t="s">
        <v>30</v>
      </c>
      <c r="F235" s="6">
        <v>1902</v>
      </c>
      <c r="G235" s="7">
        <v>29715</v>
      </c>
      <c r="H235" s="6" t="s">
        <v>53</v>
      </c>
      <c r="I235" s="6" t="s">
        <v>59</v>
      </c>
      <c r="J235" s="6" t="s">
        <v>99</v>
      </c>
      <c r="K235" s="6" t="s">
        <v>34</v>
      </c>
      <c r="L235" s="6" t="s">
        <v>74</v>
      </c>
      <c r="M235" s="7">
        <v>40812</v>
      </c>
      <c r="N235" s="7">
        <v>40838</v>
      </c>
      <c r="O235" s="6" t="s">
        <v>60</v>
      </c>
      <c r="P235" s="6" t="s">
        <v>46</v>
      </c>
      <c r="Q235" s="6" t="s">
        <v>38</v>
      </c>
      <c r="R235" s="6" t="s">
        <v>83</v>
      </c>
      <c r="S235" s="6" t="s">
        <v>62</v>
      </c>
      <c r="T235" s="6" t="s">
        <v>50</v>
      </c>
      <c r="U235" s="6">
        <v>4.5</v>
      </c>
      <c r="V235" s="6">
        <v>4</v>
      </c>
      <c r="W235" s="6">
        <v>0</v>
      </c>
      <c r="X235" s="7">
        <v>40838</v>
      </c>
      <c r="Y235" s="6">
        <v>0</v>
      </c>
      <c r="Z235" s="8">
        <v>10</v>
      </c>
      <c r="AA235" s="9">
        <f>DATEDIF(Table1[[#This Row],[DateofBirth]],"1-1-2020","y")</f>
        <v>38</v>
      </c>
      <c r="AB235" s="10" t="str" cm="1">
        <f t="array" ref="AB235">_xlfn.IFS(Table1[[#This Row],[age]]&lt; 20,"&lt;20",Table1[[#This Row],[age]]&lt; 30,"21-30",Table1[[#This Row],[age]]&lt; 40,"31-40", Table1[[#This Row],[age]]&lt; 50,"41-50",Table1[[#This Row],[age]]&lt; 60,"51-60",Table1[[#This Row],[age]]&lt;70,"60+")</f>
        <v>31-40</v>
      </c>
    </row>
    <row r="236" spans="1:28" ht="13.5" customHeight="1">
      <c r="A236" s="5" t="s">
        <v>391</v>
      </c>
      <c r="B236" s="6">
        <v>10224</v>
      </c>
      <c r="C236" s="6">
        <v>55578</v>
      </c>
      <c r="D236" s="6" t="s">
        <v>52</v>
      </c>
      <c r="E236" s="6" t="s">
        <v>30</v>
      </c>
      <c r="F236" s="6">
        <v>2138</v>
      </c>
      <c r="G236" s="7">
        <v>26365</v>
      </c>
      <c r="H236" s="6" t="s">
        <v>31</v>
      </c>
      <c r="I236" s="6" t="s">
        <v>44</v>
      </c>
      <c r="J236" s="6" t="s">
        <v>33</v>
      </c>
      <c r="K236" s="6" t="s">
        <v>34</v>
      </c>
      <c r="L236" s="6" t="s">
        <v>35</v>
      </c>
      <c r="M236" s="7">
        <v>40670</v>
      </c>
      <c r="N236" s="7">
        <v>41123</v>
      </c>
      <c r="O236" s="6" t="s">
        <v>82</v>
      </c>
      <c r="P236" s="6" t="s">
        <v>46</v>
      </c>
      <c r="Q236" s="6" t="s">
        <v>38</v>
      </c>
      <c r="R236" s="6" t="s">
        <v>55</v>
      </c>
      <c r="S236" s="6" t="s">
        <v>49</v>
      </c>
      <c r="T236" s="6" t="s">
        <v>50</v>
      </c>
      <c r="U236" s="6">
        <v>4.2</v>
      </c>
      <c r="V236" s="6">
        <v>5</v>
      </c>
      <c r="W236" s="6">
        <v>0</v>
      </c>
      <c r="X236" s="7">
        <v>41061</v>
      </c>
      <c r="Y236" s="6">
        <v>0</v>
      </c>
      <c r="Z236" s="8">
        <v>13</v>
      </c>
      <c r="AA236" s="9">
        <f>DATEDIF(Table1[[#This Row],[DateofBirth]],"1-1-2020","y")</f>
        <v>47</v>
      </c>
      <c r="AB236" s="10" t="str" cm="1">
        <f t="array" ref="AB236">_xlfn.IFS(Table1[[#This Row],[age]]&lt; 20,"&lt;20",Table1[[#This Row],[age]]&lt; 30,"21-30",Table1[[#This Row],[age]]&lt; 40,"31-40", Table1[[#This Row],[age]]&lt; 50,"41-50",Table1[[#This Row],[age]]&lt; 60,"51-60",Table1[[#This Row],[age]]&lt;70,"60+")</f>
        <v>41-50</v>
      </c>
    </row>
    <row r="237" spans="1:28" ht="13.5" customHeight="1">
      <c r="A237" s="5" t="s">
        <v>392</v>
      </c>
      <c r="B237" s="6">
        <v>10047</v>
      </c>
      <c r="C237" s="6">
        <v>50428</v>
      </c>
      <c r="D237" s="6" t="s">
        <v>29</v>
      </c>
      <c r="E237" s="6" t="s">
        <v>30</v>
      </c>
      <c r="F237" s="6">
        <v>1420</v>
      </c>
      <c r="G237" s="7">
        <v>27211</v>
      </c>
      <c r="H237" s="6" t="s">
        <v>31</v>
      </c>
      <c r="I237" s="6" t="s">
        <v>44</v>
      </c>
      <c r="J237" s="6" t="s">
        <v>33</v>
      </c>
      <c r="K237" s="6" t="s">
        <v>34</v>
      </c>
      <c r="L237" s="6" t="s">
        <v>74</v>
      </c>
      <c r="M237" s="7">
        <v>40817</v>
      </c>
      <c r="N237" s="7">
        <v>42395</v>
      </c>
      <c r="O237" s="6" t="s">
        <v>95</v>
      </c>
      <c r="P237" s="6" t="s">
        <v>46</v>
      </c>
      <c r="Q237" s="6" t="s">
        <v>38</v>
      </c>
      <c r="R237" s="6" t="s">
        <v>64</v>
      </c>
      <c r="S237" s="6" t="s">
        <v>49</v>
      </c>
      <c r="T237" s="6" t="s">
        <v>50</v>
      </c>
      <c r="U237" s="6">
        <v>5</v>
      </c>
      <c r="V237" s="6">
        <v>3</v>
      </c>
      <c r="W237" s="6">
        <v>0</v>
      </c>
      <c r="X237" s="7">
        <v>42278</v>
      </c>
      <c r="Y237" s="6">
        <v>0</v>
      </c>
      <c r="Z237" s="8">
        <v>11</v>
      </c>
      <c r="AA237" s="9">
        <f>DATEDIF(Table1[[#This Row],[DateofBirth]],"1-1-2020","y")</f>
        <v>45</v>
      </c>
      <c r="AB237" s="10" t="str" cm="1">
        <f t="array" ref="AB237">_xlfn.IFS(Table1[[#This Row],[age]]&lt; 20,"&lt;20",Table1[[#This Row],[age]]&lt; 30,"21-30",Table1[[#This Row],[age]]&lt; 40,"31-40", Table1[[#This Row],[age]]&lt; 50,"41-50",Table1[[#This Row],[age]]&lt; 60,"51-60",Table1[[#This Row],[age]]&lt;70,"60+")</f>
        <v>41-50</v>
      </c>
    </row>
    <row r="238" spans="1:28" ht="13.5" customHeight="1">
      <c r="A238" s="5" t="s">
        <v>393</v>
      </c>
      <c r="B238" s="6">
        <v>10285</v>
      </c>
      <c r="C238" s="6">
        <v>61422</v>
      </c>
      <c r="D238" s="6" t="s">
        <v>29</v>
      </c>
      <c r="E238" s="6" t="s">
        <v>30</v>
      </c>
      <c r="F238" s="6">
        <v>1460</v>
      </c>
      <c r="G238" s="7">
        <v>31229</v>
      </c>
      <c r="H238" s="6" t="s">
        <v>53</v>
      </c>
      <c r="I238" s="6" t="s">
        <v>44</v>
      </c>
      <c r="J238" s="6" t="s">
        <v>33</v>
      </c>
      <c r="K238" s="6" t="s">
        <v>34</v>
      </c>
      <c r="L238" s="6" t="s">
        <v>35</v>
      </c>
      <c r="M238" s="7">
        <v>40817</v>
      </c>
      <c r="N238" s="7">
        <v>42507</v>
      </c>
      <c r="O238" s="6" t="s">
        <v>95</v>
      </c>
      <c r="P238" s="6" t="s">
        <v>96</v>
      </c>
      <c r="Q238" s="6" t="s">
        <v>38</v>
      </c>
      <c r="R238" s="6" t="s">
        <v>71</v>
      </c>
      <c r="S238" s="6" t="s">
        <v>49</v>
      </c>
      <c r="T238" s="6" t="s">
        <v>110</v>
      </c>
      <c r="U238" s="6">
        <v>3.6</v>
      </c>
      <c r="V238" s="6">
        <v>3</v>
      </c>
      <c r="W238" s="6">
        <v>0</v>
      </c>
      <c r="X238" s="7">
        <v>42494</v>
      </c>
      <c r="Y238" s="6">
        <v>4</v>
      </c>
      <c r="Z238" s="8">
        <v>16</v>
      </c>
      <c r="AA238" s="9">
        <f>DATEDIF(Table1[[#This Row],[DateofBirth]],"1-1-2020","y")</f>
        <v>34</v>
      </c>
      <c r="AB238" s="10" t="str" cm="1">
        <f t="array" ref="AB238">_xlfn.IFS(Table1[[#This Row],[age]]&lt; 20,"&lt;20",Table1[[#This Row],[age]]&lt; 30,"21-30",Table1[[#This Row],[age]]&lt; 40,"31-40", Table1[[#This Row],[age]]&lt; 50,"41-50",Table1[[#This Row],[age]]&lt; 60,"51-60",Table1[[#This Row],[age]]&lt;70,"60+")</f>
        <v>31-40</v>
      </c>
    </row>
    <row r="239" spans="1:28" ht="13.5" customHeight="1">
      <c r="A239" s="5" t="s">
        <v>394</v>
      </c>
      <c r="B239" s="6">
        <v>10020</v>
      </c>
      <c r="C239" s="6">
        <v>63353</v>
      </c>
      <c r="D239" s="6" t="s">
        <v>29</v>
      </c>
      <c r="E239" s="6" t="s">
        <v>30</v>
      </c>
      <c r="F239" s="6">
        <v>1730</v>
      </c>
      <c r="G239" s="7">
        <v>31075</v>
      </c>
      <c r="H239" s="6" t="s">
        <v>31</v>
      </c>
      <c r="I239" s="6" t="s">
        <v>70</v>
      </c>
      <c r="J239" s="6" t="s">
        <v>33</v>
      </c>
      <c r="K239" s="6" t="s">
        <v>34</v>
      </c>
      <c r="L239" s="6" t="s">
        <v>35</v>
      </c>
      <c r="M239" s="7">
        <v>41493</v>
      </c>
      <c r="N239" s="7">
        <v>32874</v>
      </c>
      <c r="O239" s="6" t="s">
        <v>36</v>
      </c>
      <c r="P239" s="6" t="s">
        <v>37</v>
      </c>
      <c r="Q239" s="6" t="s">
        <v>38</v>
      </c>
      <c r="R239" s="6" t="s">
        <v>75</v>
      </c>
      <c r="S239" s="6" t="s">
        <v>72</v>
      </c>
      <c r="T239" s="6" t="s">
        <v>41</v>
      </c>
      <c r="U239" s="6">
        <v>3.6</v>
      </c>
      <c r="V239" s="6">
        <v>5</v>
      </c>
      <c r="W239" s="6">
        <v>0</v>
      </c>
      <c r="X239" s="7">
        <v>43771</v>
      </c>
      <c r="Y239" s="6">
        <v>0</v>
      </c>
      <c r="Z239" s="8">
        <v>4</v>
      </c>
      <c r="AA239" s="9">
        <f>DATEDIF(Table1[[#This Row],[DateofBirth]],"1-1-2020","y")</f>
        <v>34</v>
      </c>
      <c r="AB239" s="10" t="str" cm="1">
        <f t="array" ref="AB239">_xlfn.IFS(Table1[[#This Row],[age]]&lt; 20,"&lt;20",Table1[[#This Row],[age]]&lt; 30,"21-30",Table1[[#This Row],[age]]&lt; 40,"31-40", Table1[[#This Row],[age]]&lt; 50,"41-50",Table1[[#This Row],[age]]&lt; 60,"51-60",Table1[[#This Row],[age]]&lt;70,"60+")</f>
        <v>31-40</v>
      </c>
    </row>
    <row r="240" spans="1:28" ht="13.5" customHeight="1">
      <c r="A240" s="5" t="s">
        <v>395</v>
      </c>
      <c r="B240" s="6">
        <v>10162</v>
      </c>
      <c r="C240" s="6">
        <v>89883</v>
      </c>
      <c r="D240" s="6" t="s">
        <v>87</v>
      </c>
      <c r="E240" s="6" t="s">
        <v>30</v>
      </c>
      <c r="F240" s="6">
        <v>1886</v>
      </c>
      <c r="G240" s="7">
        <v>29900</v>
      </c>
      <c r="H240" s="6" t="s">
        <v>53</v>
      </c>
      <c r="I240" s="6" t="s">
        <v>44</v>
      </c>
      <c r="J240" s="6" t="s">
        <v>33</v>
      </c>
      <c r="K240" s="6" t="s">
        <v>34</v>
      </c>
      <c r="L240" s="6" t="s">
        <v>35</v>
      </c>
      <c r="M240" s="7">
        <v>42051</v>
      </c>
      <c r="N240" s="7">
        <v>32874</v>
      </c>
      <c r="O240" s="6" t="s">
        <v>36</v>
      </c>
      <c r="P240" s="6" t="s">
        <v>37</v>
      </c>
      <c r="Q240" s="6" t="s">
        <v>47</v>
      </c>
      <c r="R240" s="6" t="s">
        <v>48</v>
      </c>
      <c r="S240" s="6" t="s">
        <v>72</v>
      </c>
      <c r="T240" s="6" t="s">
        <v>50</v>
      </c>
      <c r="U240" s="6">
        <v>3.69</v>
      </c>
      <c r="V240" s="6">
        <v>5</v>
      </c>
      <c r="W240" s="6">
        <v>6</v>
      </c>
      <c r="X240" s="7">
        <v>43510</v>
      </c>
      <c r="Y240" s="6">
        <v>0</v>
      </c>
      <c r="Z240" s="8">
        <v>15</v>
      </c>
      <c r="AA240" s="9">
        <f>DATEDIF(Table1[[#This Row],[DateofBirth]],"1-1-2020","y")</f>
        <v>38</v>
      </c>
      <c r="AB240" s="10" t="str" cm="1">
        <f t="array" ref="AB240">_xlfn.IFS(Table1[[#This Row],[age]]&lt; 20,"&lt;20",Table1[[#This Row],[age]]&lt; 30,"21-30",Table1[[#This Row],[age]]&lt; 40,"31-40", Table1[[#This Row],[age]]&lt; 50,"41-50",Table1[[#This Row],[age]]&lt; 60,"51-60",Table1[[#This Row],[age]]&lt;70,"60+")</f>
        <v>31-40</v>
      </c>
    </row>
    <row r="241" spans="1:28" ht="13.5" customHeight="1">
      <c r="A241" s="5" t="s">
        <v>396</v>
      </c>
      <c r="B241" s="6">
        <v>10149</v>
      </c>
      <c r="C241" s="6">
        <v>120000</v>
      </c>
      <c r="D241" s="6" t="s">
        <v>397</v>
      </c>
      <c r="E241" s="6" t="s">
        <v>30</v>
      </c>
      <c r="F241" s="6">
        <v>2703</v>
      </c>
      <c r="G241" s="7">
        <v>26811</v>
      </c>
      <c r="H241" s="6" t="s">
        <v>53</v>
      </c>
      <c r="I241" s="6" t="s">
        <v>32</v>
      </c>
      <c r="J241" s="6" t="s">
        <v>33</v>
      </c>
      <c r="K241" s="6" t="s">
        <v>81</v>
      </c>
      <c r="L241" s="6" t="s">
        <v>35</v>
      </c>
      <c r="M241" s="7">
        <v>42125</v>
      </c>
      <c r="N241" s="7">
        <v>43384</v>
      </c>
      <c r="O241" s="6" t="s">
        <v>82</v>
      </c>
      <c r="P241" s="6" t="s">
        <v>46</v>
      </c>
      <c r="Q241" s="6" t="s">
        <v>47</v>
      </c>
      <c r="R241" s="6" t="s">
        <v>48</v>
      </c>
      <c r="S241" s="6" t="s">
        <v>40</v>
      </c>
      <c r="T241" s="6" t="s">
        <v>50</v>
      </c>
      <c r="U241" s="6">
        <v>3.88</v>
      </c>
      <c r="V241" s="6">
        <v>3</v>
      </c>
      <c r="W241" s="6">
        <v>7</v>
      </c>
      <c r="X241" s="7">
        <v>43144</v>
      </c>
      <c r="Y241" s="6">
        <v>0</v>
      </c>
      <c r="Z241" s="8">
        <v>12</v>
      </c>
      <c r="AA241" s="9">
        <f>DATEDIF(Table1[[#This Row],[DateofBirth]],"1-1-2020","y")</f>
        <v>46</v>
      </c>
      <c r="AB241" s="10" t="str" cm="1">
        <f t="array" ref="AB241">_xlfn.IFS(Table1[[#This Row],[age]]&lt; 20,"&lt;20",Table1[[#This Row],[age]]&lt; 30,"21-30",Table1[[#This Row],[age]]&lt; 40,"31-40", Table1[[#This Row],[age]]&lt; 50,"41-50",Table1[[#This Row],[age]]&lt; 60,"51-60",Table1[[#This Row],[age]]&lt;70,"60+")</f>
        <v>41-50</v>
      </c>
    </row>
    <row r="242" spans="1:28" ht="13.5" customHeight="1">
      <c r="A242" s="5" t="s">
        <v>398</v>
      </c>
      <c r="B242" s="6">
        <v>10086</v>
      </c>
      <c r="C242" s="6">
        <v>150290</v>
      </c>
      <c r="D242" s="6" t="s">
        <v>399</v>
      </c>
      <c r="E242" s="6" t="s">
        <v>30</v>
      </c>
      <c r="F242" s="6">
        <v>2056</v>
      </c>
      <c r="G242" s="7">
        <v>26624</v>
      </c>
      <c r="H242" s="6" t="s">
        <v>53</v>
      </c>
      <c r="I242" s="6" t="s">
        <v>32</v>
      </c>
      <c r="J242" s="6" t="s">
        <v>33</v>
      </c>
      <c r="K242" s="6" t="s">
        <v>34</v>
      </c>
      <c r="L242" s="6" t="s">
        <v>74</v>
      </c>
      <c r="M242" s="7">
        <v>42917</v>
      </c>
      <c r="N242" s="7">
        <v>32874</v>
      </c>
      <c r="O242" s="6" t="s">
        <v>36</v>
      </c>
      <c r="P242" s="6" t="s">
        <v>37</v>
      </c>
      <c r="Q242" s="6" t="s">
        <v>47</v>
      </c>
      <c r="R242" s="6" t="s">
        <v>189</v>
      </c>
      <c r="S242" s="6" t="s">
        <v>49</v>
      </c>
      <c r="T242" s="6" t="s">
        <v>50</v>
      </c>
      <c r="U242" s="6">
        <v>4.9400000000000004</v>
      </c>
      <c r="V242" s="6">
        <v>3</v>
      </c>
      <c r="W242" s="6">
        <v>5</v>
      </c>
      <c r="X242" s="7">
        <v>43618</v>
      </c>
      <c r="Y242" s="6">
        <v>0</v>
      </c>
      <c r="Z242" s="8">
        <v>17</v>
      </c>
      <c r="AA242" s="9">
        <f>DATEDIF(Table1[[#This Row],[DateofBirth]],"1-1-2020","y")</f>
        <v>47</v>
      </c>
      <c r="AB242" s="10" t="str" cm="1">
        <f t="array" ref="AB242">_xlfn.IFS(Table1[[#This Row],[age]]&lt; 20,"&lt;20",Table1[[#This Row],[age]]&lt; 30,"21-30",Table1[[#This Row],[age]]&lt; 40,"31-40", Table1[[#This Row],[age]]&lt; 50,"41-50",Table1[[#This Row],[age]]&lt; 60,"51-60",Table1[[#This Row],[age]]&lt;70,"60+")</f>
        <v>41-50</v>
      </c>
    </row>
    <row r="243" spans="1:28" ht="13.5" customHeight="1">
      <c r="A243" s="5" t="s">
        <v>400</v>
      </c>
      <c r="B243" s="6">
        <v>10054</v>
      </c>
      <c r="C243" s="6">
        <v>60627</v>
      </c>
      <c r="D243" s="6" t="s">
        <v>29</v>
      </c>
      <c r="E243" s="6" t="s">
        <v>30</v>
      </c>
      <c r="F243" s="6">
        <v>1886</v>
      </c>
      <c r="G243" s="7">
        <v>27161</v>
      </c>
      <c r="H243" s="6" t="s">
        <v>53</v>
      </c>
      <c r="I243" s="6" t="s">
        <v>129</v>
      </c>
      <c r="J243" s="6" t="s">
        <v>33</v>
      </c>
      <c r="K243" s="6" t="s">
        <v>34</v>
      </c>
      <c r="L243" s="6" t="s">
        <v>35</v>
      </c>
      <c r="M243" s="7">
        <v>41791</v>
      </c>
      <c r="N243" s="7">
        <v>32874</v>
      </c>
      <c r="O243" s="6" t="s">
        <v>36</v>
      </c>
      <c r="P243" s="6" t="s">
        <v>37</v>
      </c>
      <c r="Q243" s="6" t="s">
        <v>38</v>
      </c>
      <c r="R243" s="6" t="s">
        <v>83</v>
      </c>
      <c r="S243" s="6" t="s">
        <v>193</v>
      </c>
      <c r="T243" s="6" t="s">
        <v>50</v>
      </c>
      <c r="U243" s="6">
        <v>5</v>
      </c>
      <c r="V243" s="6">
        <v>4</v>
      </c>
      <c r="W243" s="6">
        <v>0</v>
      </c>
      <c r="X243" s="7">
        <v>43496</v>
      </c>
      <c r="Y243" s="6">
        <v>0</v>
      </c>
      <c r="Z243" s="8">
        <v>8</v>
      </c>
      <c r="AA243" s="9">
        <f>DATEDIF(Table1[[#This Row],[DateofBirth]],"1-1-2020","y")</f>
        <v>45</v>
      </c>
      <c r="AB243" s="10" t="str" cm="1">
        <f t="array" ref="AB243">_xlfn.IFS(Table1[[#This Row],[age]]&lt; 20,"&lt;20",Table1[[#This Row],[age]]&lt; 30,"21-30",Table1[[#This Row],[age]]&lt; 40,"31-40", Table1[[#This Row],[age]]&lt; 50,"41-50",Table1[[#This Row],[age]]&lt; 60,"51-60",Table1[[#This Row],[age]]&lt;70,"60+")</f>
        <v>41-50</v>
      </c>
    </row>
    <row r="244" spans="1:28" ht="13.5" customHeight="1">
      <c r="A244" s="5" t="s">
        <v>401</v>
      </c>
      <c r="B244" s="6">
        <v>10065</v>
      </c>
      <c r="C244" s="6">
        <v>53180</v>
      </c>
      <c r="D244" s="6" t="s">
        <v>29</v>
      </c>
      <c r="E244" s="6" t="s">
        <v>30</v>
      </c>
      <c r="F244" s="6">
        <v>2155</v>
      </c>
      <c r="G244" s="7">
        <v>31854</v>
      </c>
      <c r="H244" s="6" t="s">
        <v>31</v>
      </c>
      <c r="I244" s="6" t="s">
        <v>32</v>
      </c>
      <c r="J244" s="6" t="s">
        <v>33</v>
      </c>
      <c r="K244" s="6" t="s">
        <v>34</v>
      </c>
      <c r="L244" s="6" t="s">
        <v>35</v>
      </c>
      <c r="M244" s="7">
        <v>40637</v>
      </c>
      <c r="N244" s="7">
        <v>43325</v>
      </c>
      <c r="O244" s="6" t="s">
        <v>82</v>
      </c>
      <c r="P244" s="6" t="s">
        <v>46</v>
      </c>
      <c r="Q244" s="6" t="s">
        <v>38</v>
      </c>
      <c r="R244" s="6" t="s">
        <v>55</v>
      </c>
      <c r="S244" s="6" t="s">
        <v>62</v>
      </c>
      <c r="T244" s="6" t="s">
        <v>50</v>
      </c>
      <c r="U244" s="6">
        <v>5</v>
      </c>
      <c r="V244" s="6">
        <v>5</v>
      </c>
      <c r="W244" s="6">
        <v>0</v>
      </c>
      <c r="X244" s="7">
        <v>43138</v>
      </c>
      <c r="Y244" s="6">
        <v>0</v>
      </c>
      <c r="Z244" s="8">
        <v>4</v>
      </c>
      <c r="AA244" s="9">
        <f>DATEDIF(Table1[[#This Row],[DateofBirth]],"1-1-2020","y")</f>
        <v>32</v>
      </c>
      <c r="AB244" s="10" t="str" cm="1">
        <f t="array" ref="AB244">_xlfn.IFS(Table1[[#This Row],[age]]&lt; 20,"&lt;20",Table1[[#This Row],[age]]&lt; 30,"21-30",Table1[[#This Row],[age]]&lt; 40,"31-40", Table1[[#This Row],[age]]&lt; 50,"41-50",Table1[[#This Row],[age]]&lt; 60,"51-60",Table1[[#This Row],[age]]&lt;70,"60+")</f>
        <v>31-40</v>
      </c>
    </row>
    <row r="245" spans="1:28" ht="13.5" customHeight="1">
      <c r="A245" s="5" t="s">
        <v>402</v>
      </c>
      <c r="B245" s="6">
        <v>10198</v>
      </c>
      <c r="C245" s="6">
        <v>140920</v>
      </c>
      <c r="D245" s="6" t="s">
        <v>403</v>
      </c>
      <c r="E245" s="6" t="s">
        <v>30</v>
      </c>
      <c r="F245" s="6">
        <v>2481</v>
      </c>
      <c r="G245" s="7">
        <v>26788</v>
      </c>
      <c r="H245" s="6" t="s">
        <v>31</v>
      </c>
      <c r="I245" s="6" t="s">
        <v>32</v>
      </c>
      <c r="J245" s="6" t="s">
        <v>33</v>
      </c>
      <c r="K245" s="6" t="s">
        <v>34</v>
      </c>
      <c r="L245" s="6" t="s">
        <v>35</v>
      </c>
      <c r="M245" s="7">
        <v>41294</v>
      </c>
      <c r="N245" s="7">
        <v>32874</v>
      </c>
      <c r="O245" s="6" t="s">
        <v>36</v>
      </c>
      <c r="P245" s="6" t="s">
        <v>37</v>
      </c>
      <c r="Q245" s="6" t="s">
        <v>47</v>
      </c>
      <c r="R245" s="6" t="s">
        <v>139</v>
      </c>
      <c r="S245" s="6" t="s">
        <v>49</v>
      </c>
      <c r="T245" s="6" t="s">
        <v>50</v>
      </c>
      <c r="U245" s="6">
        <v>3.6</v>
      </c>
      <c r="V245" s="6">
        <v>5</v>
      </c>
      <c r="W245" s="6">
        <v>7</v>
      </c>
      <c r="X245" s="7">
        <v>43514</v>
      </c>
      <c r="Y245" s="6">
        <v>0</v>
      </c>
      <c r="Z245" s="8">
        <v>13</v>
      </c>
      <c r="AA245" s="9">
        <f>DATEDIF(Table1[[#This Row],[DateofBirth]],"1-1-2020","y")</f>
        <v>46</v>
      </c>
      <c r="AB245" s="10" t="str" cm="1">
        <f t="array" ref="AB245">_xlfn.IFS(Table1[[#This Row],[age]]&lt; 20,"&lt;20",Table1[[#This Row],[age]]&lt; 30,"21-30",Table1[[#This Row],[age]]&lt; 40,"31-40", Table1[[#This Row],[age]]&lt; 50,"41-50",Table1[[#This Row],[age]]&lt; 60,"51-60",Table1[[#This Row],[age]]&lt;70,"60+")</f>
        <v>41-50</v>
      </c>
    </row>
    <row r="246" spans="1:28" ht="13.5" customHeight="1">
      <c r="A246" s="5" t="s">
        <v>404</v>
      </c>
      <c r="B246" s="6">
        <v>10222</v>
      </c>
      <c r="C246" s="6">
        <v>148999</v>
      </c>
      <c r="D246" s="6" t="s">
        <v>403</v>
      </c>
      <c r="E246" s="6" t="s">
        <v>30</v>
      </c>
      <c r="F246" s="6">
        <v>1915</v>
      </c>
      <c r="G246" s="7">
        <v>23468</v>
      </c>
      <c r="H246" s="6" t="s">
        <v>31</v>
      </c>
      <c r="I246" s="6" t="s">
        <v>59</v>
      </c>
      <c r="J246" s="6" t="s">
        <v>33</v>
      </c>
      <c r="K246" s="6" t="s">
        <v>34</v>
      </c>
      <c r="L246" s="6" t="s">
        <v>74</v>
      </c>
      <c r="M246" s="7">
        <v>41153</v>
      </c>
      <c r="N246" s="7">
        <v>42105</v>
      </c>
      <c r="O246" s="6" t="s">
        <v>54</v>
      </c>
      <c r="P246" s="6" t="s">
        <v>46</v>
      </c>
      <c r="Q246" s="6" t="s">
        <v>47</v>
      </c>
      <c r="R246" s="6" t="s">
        <v>139</v>
      </c>
      <c r="S246" s="6" t="s">
        <v>76</v>
      </c>
      <c r="T246" s="6" t="s">
        <v>50</v>
      </c>
      <c r="U246" s="6">
        <v>4.3</v>
      </c>
      <c r="V246" s="6">
        <v>4</v>
      </c>
      <c r="W246" s="6">
        <v>6</v>
      </c>
      <c r="X246" s="7">
        <v>42095</v>
      </c>
      <c r="Y246" s="6">
        <v>0</v>
      </c>
      <c r="Z246" s="8">
        <v>8</v>
      </c>
      <c r="AA246" s="9">
        <f>DATEDIF(Table1[[#This Row],[DateofBirth]],"1-1-2020","y")</f>
        <v>55</v>
      </c>
      <c r="AB246" s="10" t="str" cm="1">
        <f t="array" ref="AB246">_xlfn.IFS(Table1[[#This Row],[age]]&lt; 20,"&lt;20",Table1[[#This Row],[age]]&lt; 30,"21-30",Table1[[#This Row],[age]]&lt; 40,"31-40", Table1[[#This Row],[age]]&lt; 50,"41-50",Table1[[#This Row],[age]]&lt; 60,"51-60",Table1[[#This Row],[age]]&lt;70,"60+")</f>
        <v>51-60</v>
      </c>
    </row>
    <row r="247" spans="1:28" ht="13.5" customHeight="1">
      <c r="A247" s="5" t="s">
        <v>405</v>
      </c>
      <c r="B247" s="6">
        <v>10126</v>
      </c>
      <c r="C247" s="6">
        <v>86214</v>
      </c>
      <c r="D247" s="6" t="s">
        <v>66</v>
      </c>
      <c r="E247" s="6" t="s">
        <v>30</v>
      </c>
      <c r="F247" s="6">
        <v>2132</v>
      </c>
      <c r="G247" s="7">
        <v>31617</v>
      </c>
      <c r="H247" s="6" t="s">
        <v>53</v>
      </c>
      <c r="I247" s="6" t="s">
        <v>44</v>
      </c>
      <c r="J247" s="6" t="s">
        <v>33</v>
      </c>
      <c r="K247" s="6" t="s">
        <v>34</v>
      </c>
      <c r="L247" s="6" t="s">
        <v>35</v>
      </c>
      <c r="M247" s="7">
        <v>41040</v>
      </c>
      <c r="N247" s="7">
        <v>32874</v>
      </c>
      <c r="O247" s="6" t="s">
        <v>36</v>
      </c>
      <c r="P247" s="6" t="s">
        <v>37</v>
      </c>
      <c r="Q247" s="6" t="s">
        <v>67</v>
      </c>
      <c r="R247" s="6" t="s">
        <v>68</v>
      </c>
      <c r="S247" s="6" t="s">
        <v>49</v>
      </c>
      <c r="T247" s="6" t="s">
        <v>50</v>
      </c>
      <c r="U247" s="6">
        <v>4.2</v>
      </c>
      <c r="V247" s="6">
        <v>3</v>
      </c>
      <c r="W247" s="6">
        <v>6</v>
      </c>
      <c r="X247" s="7">
        <v>43509</v>
      </c>
      <c r="Y247" s="6">
        <v>0</v>
      </c>
      <c r="Z247" s="8">
        <v>2</v>
      </c>
      <c r="AA247" s="9">
        <f>DATEDIF(Table1[[#This Row],[DateofBirth]],"1-1-2020","y")</f>
        <v>33</v>
      </c>
      <c r="AB247" s="10" t="str" cm="1">
        <f t="array" ref="AB247">_xlfn.IFS(Table1[[#This Row],[age]]&lt; 20,"&lt;20",Table1[[#This Row],[age]]&lt; 30,"21-30",Table1[[#This Row],[age]]&lt; 40,"31-40", Table1[[#This Row],[age]]&lt; 50,"41-50",Table1[[#This Row],[age]]&lt; 60,"51-60",Table1[[#This Row],[age]]&lt;70,"60+")</f>
        <v>31-40</v>
      </c>
    </row>
    <row r="248" spans="1:28" ht="13.5" customHeight="1">
      <c r="A248" s="5" t="s">
        <v>406</v>
      </c>
      <c r="B248" s="6">
        <v>10295</v>
      </c>
      <c r="C248" s="6">
        <v>47750</v>
      </c>
      <c r="D248" s="6" t="s">
        <v>29</v>
      </c>
      <c r="E248" s="6" t="s">
        <v>30</v>
      </c>
      <c r="F248" s="6">
        <v>1801</v>
      </c>
      <c r="G248" s="7">
        <v>24995</v>
      </c>
      <c r="H248" s="6" t="s">
        <v>53</v>
      </c>
      <c r="I248" s="6" t="s">
        <v>32</v>
      </c>
      <c r="J248" s="6" t="s">
        <v>33</v>
      </c>
      <c r="K248" s="6" t="s">
        <v>34</v>
      </c>
      <c r="L248" s="6" t="s">
        <v>74</v>
      </c>
      <c r="M248" s="7">
        <v>42467</v>
      </c>
      <c r="N248" s="7">
        <v>32874</v>
      </c>
      <c r="O248" s="6" t="s">
        <v>36</v>
      </c>
      <c r="P248" s="6" t="s">
        <v>37</v>
      </c>
      <c r="Q248" s="6" t="s">
        <v>38</v>
      </c>
      <c r="R248" s="6" t="s">
        <v>91</v>
      </c>
      <c r="S248" s="6" t="s">
        <v>76</v>
      </c>
      <c r="T248" s="6" t="s">
        <v>110</v>
      </c>
      <c r="U248" s="6">
        <v>2.6</v>
      </c>
      <c r="V248" s="6">
        <v>4</v>
      </c>
      <c r="W248" s="6">
        <v>0</v>
      </c>
      <c r="X248" s="7">
        <v>43514</v>
      </c>
      <c r="Y248" s="6">
        <v>5</v>
      </c>
      <c r="Z248" s="8">
        <v>4</v>
      </c>
      <c r="AA248" s="9">
        <f>DATEDIF(Table1[[#This Row],[DateofBirth]],"1-1-2020","y")</f>
        <v>51</v>
      </c>
      <c r="AB248" s="10" t="str" cm="1">
        <f t="array" ref="AB248">_xlfn.IFS(Table1[[#This Row],[age]]&lt; 20,"&lt;20",Table1[[#This Row],[age]]&lt; 30,"21-30",Table1[[#This Row],[age]]&lt; 40,"31-40", Table1[[#This Row],[age]]&lt; 50,"41-50",Table1[[#This Row],[age]]&lt; 60,"51-60",Table1[[#This Row],[age]]&lt;70,"60+")</f>
        <v>51-60</v>
      </c>
    </row>
    <row r="249" spans="1:28" ht="13.5" customHeight="1">
      <c r="A249" s="5" t="s">
        <v>407</v>
      </c>
      <c r="B249" s="6">
        <v>10260</v>
      </c>
      <c r="C249" s="6">
        <v>46428</v>
      </c>
      <c r="D249" s="6" t="s">
        <v>29</v>
      </c>
      <c r="E249" s="6" t="s">
        <v>30</v>
      </c>
      <c r="F249" s="6">
        <v>2148</v>
      </c>
      <c r="G249" s="7">
        <v>27384</v>
      </c>
      <c r="H249" s="6" t="s">
        <v>31</v>
      </c>
      <c r="I249" s="6" t="s">
        <v>32</v>
      </c>
      <c r="J249" s="6" t="s">
        <v>33</v>
      </c>
      <c r="K249" s="6" t="s">
        <v>34</v>
      </c>
      <c r="L249" s="6" t="s">
        <v>35</v>
      </c>
      <c r="M249" s="7">
        <v>39934</v>
      </c>
      <c r="N249" s="7">
        <v>43311</v>
      </c>
      <c r="O249" s="6" t="s">
        <v>154</v>
      </c>
      <c r="P249" s="6" t="s">
        <v>46</v>
      </c>
      <c r="Q249" s="6" t="s">
        <v>38</v>
      </c>
      <c r="R249" s="6" t="s">
        <v>39</v>
      </c>
      <c r="S249" s="6" t="s">
        <v>62</v>
      </c>
      <c r="T249" s="6" t="s">
        <v>50</v>
      </c>
      <c r="U249" s="6">
        <v>4.5999999999999996</v>
      </c>
      <c r="V249" s="6">
        <v>5</v>
      </c>
      <c r="W249" s="6">
        <v>0</v>
      </c>
      <c r="X249" s="7">
        <v>43222</v>
      </c>
      <c r="Y249" s="6">
        <v>0</v>
      </c>
      <c r="Z249" s="8">
        <v>7</v>
      </c>
      <c r="AA249" s="9">
        <f>DATEDIF(Table1[[#This Row],[DateofBirth]],"1-1-2020","y")</f>
        <v>45</v>
      </c>
      <c r="AB249" s="10" t="str" cm="1">
        <f t="array" ref="AB249">_xlfn.IFS(Table1[[#This Row],[age]]&lt; 20,"&lt;20",Table1[[#This Row],[age]]&lt; 30,"21-30",Table1[[#This Row],[age]]&lt; 40,"31-40", Table1[[#This Row],[age]]&lt; 50,"41-50",Table1[[#This Row],[age]]&lt; 60,"51-60",Table1[[#This Row],[age]]&lt;70,"60+")</f>
        <v>41-50</v>
      </c>
    </row>
    <row r="250" spans="1:28" ht="13.5" customHeight="1">
      <c r="A250" s="5" t="s">
        <v>408</v>
      </c>
      <c r="B250" s="6">
        <v>10233</v>
      </c>
      <c r="C250" s="6">
        <v>57975</v>
      </c>
      <c r="D250" s="6" t="s">
        <v>52</v>
      </c>
      <c r="E250" s="6" t="s">
        <v>30</v>
      </c>
      <c r="F250" s="6">
        <v>2062</v>
      </c>
      <c r="G250" s="7">
        <v>31528</v>
      </c>
      <c r="H250" s="6" t="s">
        <v>31</v>
      </c>
      <c r="I250" s="6" t="s">
        <v>44</v>
      </c>
      <c r="J250" s="6" t="s">
        <v>33</v>
      </c>
      <c r="K250" s="6" t="s">
        <v>34</v>
      </c>
      <c r="L250" s="6" t="s">
        <v>35</v>
      </c>
      <c r="M250" s="7">
        <v>40420</v>
      </c>
      <c r="N250" s="7">
        <v>32874</v>
      </c>
      <c r="O250" s="6" t="s">
        <v>36</v>
      </c>
      <c r="P250" s="6" t="s">
        <v>37</v>
      </c>
      <c r="Q250" s="6" t="s">
        <v>38</v>
      </c>
      <c r="R250" s="6" t="s">
        <v>91</v>
      </c>
      <c r="S250" s="6" t="s">
        <v>109</v>
      </c>
      <c r="T250" s="6" t="s">
        <v>50</v>
      </c>
      <c r="U250" s="6">
        <v>4.0999999999999996</v>
      </c>
      <c r="V250" s="6">
        <v>3</v>
      </c>
      <c r="W250" s="6">
        <v>0</v>
      </c>
      <c r="X250" s="7">
        <v>43739</v>
      </c>
      <c r="Y250" s="6">
        <v>0</v>
      </c>
      <c r="Z250" s="8">
        <v>13</v>
      </c>
      <c r="AA250" s="9">
        <f>DATEDIF(Table1[[#This Row],[DateofBirth]],"1-1-2020","y")</f>
        <v>33</v>
      </c>
      <c r="AB250" s="10" t="str" cm="1">
        <f t="array" ref="AB250">_xlfn.IFS(Table1[[#This Row],[age]]&lt; 20,"&lt;20",Table1[[#This Row],[age]]&lt; 30,"21-30",Table1[[#This Row],[age]]&lt; 40,"31-40", Table1[[#This Row],[age]]&lt; 50,"41-50",Table1[[#This Row],[age]]&lt; 60,"51-60",Table1[[#This Row],[age]]&lt;70,"60+")</f>
        <v>31-40</v>
      </c>
    </row>
    <row r="251" spans="1:28" ht="13.5" customHeight="1">
      <c r="A251" s="5" t="s">
        <v>409</v>
      </c>
      <c r="B251" s="6">
        <v>10229</v>
      </c>
      <c r="C251" s="6">
        <v>88527</v>
      </c>
      <c r="D251" s="6" t="s">
        <v>410</v>
      </c>
      <c r="E251" s="6" t="s">
        <v>30</v>
      </c>
      <c r="F251" s="6">
        <v>2452</v>
      </c>
      <c r="G251" s="7">
        <v>32128</v>
      </c>
      <c r="H251" s="6" t="s">
        <v>31</v>
      </c>
      <c r="I251" s="6" t="s">
        <v>59</v>
      </c>
      <c r="J251" s="6" t="s">
        <v>33</v>
      </c>
      <c r="K251" s="6" t="s">
        <v>34</v>
      </c>
      <c r="L251" s="6" t="s">
        <v>74</v>
      </c>
      <c r="M251" s="7">
        <v>42125</v>
      </c>
      <c r="N251" s="7">
        <v>42308</v>
      </c>
      <c r="O251" s="6" t="s">
        <v>54</v>
      </c>
      <c r="P251" s="6" t="s">
        <v>46</v>
      </c>
      <c r="Q251" s="6" t="s">
        <v>47</v>
      </c>
      <c r="R251" s="6" t="s">
        <v>48</v>
      </c>
      <c r="S251" s="6" t="s">
        <v>40</v>
      </c>
      <c r="T251" s="6" t="s">
        <v>50</v>
      </c>
      <c r="U251" s="6">
        <v>4.2</v>
      </c>
      <c r="V251" s="6">
        <v>3</v>
      </c>
      <c r="W251" s="6">
        <v>5</v>
      </c>
      <c r="X251" s="7">
        <v>42114</v>
      </c>
      <c r="Y251" s="6">
        <v>0</v>
      </c>
      <c r="Z251" s="8">
        <v>2</v>
      </c>
      <c r="AA251" s="9">
        <f>DATEDIF(Table1[[#This Row],[DateofBirth]],"1-1-2020","y")</f>
        <v>32</v>
      </c>
      <c r="AB251" s="10" t="str" cm="1">
        <f t="array" ref="AB251">_xlfn.IFS(Table1[[#This Row],[age]]&lt; 20,"&lt;20",Table1[[#This Row],[age]]&lt; 30,"21-30",Table1[[#This Row],[age]]&lt; 40,"31-40", Table1[[#This Row],[age]]&lt; 50,"41-50",Table1[[#This Row],[age]]&lt; 60,"51-60",Table1[[#This Row],[age]]&lt;70,"60+")</f>
        <v>31-40</v>
      </c>
    </row>
    <row r="252" spans="1:28" ht="13.5" customHeight="1">
      <c r="A252" s="5" t="s">
        <v>411</v>
      </c>
      <c r="B252" s="6">
        <v>10169</v>
      </c>
      <c r="C252" s="6">
        <v>56147</v>
      </c>
      <c r="D252" s="6" t="s">
        <v>29</v>
      </c>
      <c r="E252" s="6" t="s">
        <v>30</v>
      </c>
      <c r="F252" s="6">
        <v>2154</v>
      </c>
      <c r="G252" s="7">
        <v>32423</v>
      </c>
      <c r="H252" s="6" t="s">
        <v>53</v>
      </c>
      <c r="I252" s="6" t="s">
        <v>44</v>
      </c>
      <c r="J252" s="6" t="s">
        <v>33</v>
      </c>
      <c r="K252" s="6" t="s">
        <v>34</v>
      </c>
      <c r="L252" s="6" t="s">
        <v>74</v>
      </c>
      <c r="M252" s="7">
        <v>41911</v>
      </c>
      <c r="N252" s="7">
        <v>32874</v>
      </c>
      <c r="O252" s="6" t="s">
        <v>36</v>
      </c>
      <c r="P252" s="6" t="s">
        <v>37</v>
      </c>
      <c r="Q252" s="6" t="s">
        <v>38</v>
      </c>
      <c r="R252" s="6" t="s">
        <v>57</v>
      </c>
      <c r="S252" s="6" t="s">
        <v>40</v>
      </c>
      <c r="T252" s="6" t="s">
        <v>50</v>
      </c>
      <c r="U252" s="6">
        <v>3.51</v>
      </c>
      <c r="V252" s="6">
        <v>3</v>
      </c>
      <c r="W252" s="6">
        <v>0</v>
      </c>
      <c r="X252" s="7">
        <v>43514</v>
      </c>
      <c r="Y252" s="6">
        <v>0</v>
      </c>
      <c r="Z252" s="8">
        <v>2</v>
      </c>
      <c r="AA252" s="9">
        <f>DATEDIF(Table1[[#This Row],[DateofBirth]],"1-1-2020","y")</f>
        <v>31</v>
      </c>
      <c r="AB252" s="10" t="str" cm="1">
        <f t="array" ref="AB252">_xlfn.IFS(Table1[[#This Row],[age]]&lt; 20,"&lt;20",Table1[[#This Row],[age]]&lt; 30,"21-30",Table1[[#This Row],[age]]&lt; 40,"31-40", Table1[[#This Row],[age]]&lt; 50,"41-50",Table1[[#This Row],[age]]&lt; 60,"51-60",Table1[[#This Row],[age]]&lt;70,"60+")</f>
        <v>31-40</v>
      </c>
    </row>
    <row r="253" spans="1:28" ht="13.5" customHeight="1">
      <c r="A253" s="5" t="s">
        <v>412</v>
      </c>
      <c r="B253" s="6">
        <v>10071</v>
      </c>
      <c r="C253" s="6">
        <v>50923</v>
      </c>
      <c r="D253" s="6" t="s">
        <v>29</v>
      </c>
      <c r="E253" s="6" t="s">
        <v>30</v>
      </c>
      <c r="F253" s="6">
        <v>2191</v>
      </c>
      <c r="G253" s="7">
        <v>27670</v>
      </c>
      <c r="H253" s="6" t="s">
        <v>53</v>
      </c>
      <c r="I253" s="6" t="s">
        <v>32</v>
      </c>
      <c r="J253" s="6" t="s">
        <v>33</v>
      </c>
      <c r="K253" s="6" t="s">
        <v>34</v>
      </c>
      <c r="L253" s="6" t="s">
        <v>104</v>
      </c>
      <c r="M253" s="7">
        <v>41547</v>
      </c>
      <c r="N253" s="7">
        <v>32874</v>
      </c>
      <c r="O253" s="6" t="s">
        <v>36</v>
      </c>
      <c r="P253" s="6" t="s">
        <v>37</v>
      </c>
      <c r="Q253" s="6" t="s">
        <v>38</v>
      </c>
      <c r="R253" s="6" t="s">
        <v>61</v>
      </c>
      <c r="S253" s="6" t="s">
        <v>62</v>
      </c>
      <c r="T253" s="6" t="s">
        <v>50</v>
      </c>
      <c r="U253" s="6">
        <v>5</v>
      </c>
      <c r="V253" s="6">
        <v>5</v>
      </c>
      <c r="W253" s="6">
        <v>0</v>
      </c>
      <c r="X253" s="7">
        <v>43618</v>
      </c>
      <c r="Y253" s="6">
        <v>0</v>
      </c>
      <c r="Z253" s="8">
        <v>14</v>
      </c>
      <c r="AA253" s="9">
        <f>DATEDIF(Table1[[#This Row],[DateofBirth]],"1-1-2020","y")</f>
        <v>44</v>
      </c>
      <c r="AB253" s="10" t="str" cm="1">
        <f t="array" ref="AB253">_xlfn.IFS(Table1[[#This Row],[age]]&lt; 20,"&lt;20",Table1[[#This Row],[age]]&lt; 30,"21-30",Table1[[#This Row],[age]]&lt; 40,"31-40", Table1[[#This Row],[age]]&lt; 50,"41-50",Table1[[#This Row],[age]]&lt; 60,"51-60",Table1[[#This Row],[age]]&lt;70,"60+")</f>
        <v>41-50</v>
      </c>
    </row>
    <row r="254" spans="1:28" ht="13.5" customHeight="1">
      <c r="A254" s="5" t="s">
        <v>413</v>
      </c>
      <c r="B254" s="6">
        <v>10179</v>
      </c>
      <c r="C254" s="6">
        <v>50750</v>
      </c>
      <c r="D254" s="6" t="s">
        <v>217</v>
      </c>
      <c r="E254" s="6" t="s">
        <v>30</v>
      </c>
      <c r="F254" s="6">
        <v>1773</v>
      </c>
      <c r="G254" s="7">
        <v>29690</v>
      </c>
      <c r="H254" s="6" t="s">
        <v>53</v>
      </c>
      <c r="I254" s="6" t="s">
        <v>44</v>
      </c>
      <c r="J254" s="6" t="s">
        <v>33</v>
      </c>
      <c r="K254" s="6" t="s">
        <v>34</v>
      </c>
      <c r="L254" s="6" t="s">
        <v>35</v>
      </c>
      <c r="M254" s="7">
        <v>41912</v>
      </c>
      <c r="N254" s="7">
        <v>32874</v>
      </c>
      <c r="O254" s="6" t="s">
        <v>36</v>
      </c>
      <c r="P254" s="6" t="s">
        <v>37</v>
      </c>
      <c r="Q254" s="6" t="s">
        <v>47</v>
      </c>
      <c r="R254" s="6" t="s">
        <v>79</v>
      </c>
      <c r="S254" s="6" t="s">
        <v>40</v>
      </c>
      <c r="T254" s="6" t="s">
        <v>50</v>
      </c>
      <c r="U254" s="6">
        <v>3.31</v>
      </c>
      <c r="V254" s="6">
        <v>3</v>
      </c>
      <c r="W254" s="6">
        <v>6</v>
      </c>
      <c r="X254" s="7">
        <v>43647</v>
      </c>
      <c r="Y254" s="6">
        <v>0</v>
      </c>
      <c r="Z254" s="8">
        <v>7</v>
      </c>
      <c r="AA254" s="9">
        <f>DATEDIF(Table1[[#This Row],[DateofBirth]],"1-1-2020","y")</f>
        <v>38</v>
      </c>
      <c r="AB254" s="10" t="str" cm="1">
        <f t="array" ref="AB254">_xlfn.IFS(Table1[[#This Row],[age]]&lt; 20,"&lt;20",Table1[[#This Row],[age]]&lt; 30,"21-30",Table1[[#This Row],[age]]&lt; 40,"31-40", Table1[[#This Row],[age]]&lt; 50,"41-50",Table1[[#This Row],[age]]&lt; 60,"51-60",Table1[[#This Row],[age]]&lt;70,"60+")</f>
        <v>31-40</v>
      </c>
    </row>
    <row r="255" spans="1:28" ht="13.5" customHeight="1">
      <c r="A255" s="5" t="s">
        <v>414</v>
      </c>
      <c r="B255" s="6">
        <v>10091</v>
      </c>
      <c r="C255" s="6">
        <v>52087</v>
      </c>
      <c r="D255" s="6" t="s">
        <v>29</v>
      </c>
      <c r="E255" s="6" t="s">
        <v>30</v>
      </c>
      <c r="F255" s="6">
        <v>2149</v>
      </c>
      <c r="G255" s="7">
        <v>31283</v>
      </c>
      <c r="H255" s="6" t="s">
        <v>53</v>
      </c>
      <c r="I255" s="6" t="s">
        <v>44</v>
      </c>
      <c r="J255" s="6" t="s">
        <v>33</v>
      </c>
      <c r="K255" s="6" t="s">
        <v>34</v>
      </c>
      <c r="L255" s="6" t="s">
        <v>35</v>
      </c>
      <c r="M255" s="7">
        <v>41505</v>
      </c>
      <c r="N255" s="7">
        <v>32874</v>
      </c>
      <c r="O255" s="6" t="s">
        <v>36</v>
      </c>
      <c r="P255" s="6" t="s">
        <v>37</v>
      </c>
      <c r="Q255" s="6" t="s">
        <v>38</v>
      </c>
      <c r="R255" s="6" t="s">
        <v>64</v>
      </c>
      <c r="S255" s="6" t="s">
        <v>40</v>
      </c>
      <c r="T255" s="6" t="s">
        <v>50</v>
      </c>
      <c r="U255" s="6">
        <v>4.8099999999999996</v>
      </c>
      <c r="V255" s="6">
        <v>4</v>
      </c>
      <c r="W255" s="6">
        <v>0</v>
      </c>
      <c r="X255" s="7">
        <v>43511</v>
      </c>
      <c r="Y255" s="6">
        <v>0</v>
      </c>
      <c r="Z255" s="8">
        <v>15</v>
      </c>
      <c r="AA255" s="9">
        <f>DATEDIF(Table1[[#This Row],[DateofBirth]],"1-1-2020","y")</f>
        <v>34</v>
      </c>
      <c r="AB255" s="10" t="str" cm="1">
        <f t="array" ref="AB255">_xlfn.IFS(Table1[[#This Row],[age]]&lt; 20,"&lt;20",Table1[[#This Row],[age]]&lt; 30,"21-30",Table1[[#This Row],[age]]&lt; 40,"31-40", Table1[[#This Row],[age]]&lt; 50,"41-50",Table1[[#This Row],[age]]&lt; 60,"51-60",Table1[[#This Row],[age]]&lt;70,"60+")</f>
        <v>31-40</v>
      </c>
    </row>
    <row r="256" spans="1:28" ht="13.5" customHeight="1">
      <c r="A256" s="5" t="s">
        <v>415</v>
      </c>
      <c r="B256" s="6">
        <v>10178</v>
      </c>
      <c r="C256" s="6">
        <v>87826</v>
      </c>
      <c r="D256" s="6" t="s">
        <v>87</v>
      </c>
      <c r="E256" s="6" t="s">
        <v>30</v>
      </c>
      <c r="F256" s="6">
        <v>2110</v>
      </c>
      <c r="G256" s="7">
        <v>25782</v>
      </c>
      <c r="H256" s="6" t="s">
        <v>31</v>
      </c>
      <c r="I256" s="6" t="s">
        <v>44</v>
      </c>
      <c r="J256" s="6" t="s">
        <v>33</v>
      </c>
      <c r="K256" s="6" t="s">
        <v>81</v>
      </c>
      <c r="L256" s="6" t="s">
        <v>35</v>
      </c>
      <c r="M256" s="7">
        <v>42125</v>
      </c>
      <c r="N256" s="7">
        <v>32874</v>
      </c>
      <c r="O256" s="6" t="s">
        <v>36</v>
      </c>
      <c r="P256" s="6" t="s">
        <v>37</v>
      </c>
      <c r="Q256" s="6" t="s">
        <v>47</v>
      </c>
      <c r="R256" s="6" t="s">
        <v>48</v>
      </c>
      <c r="S256" s="6" t="s">
        <v>72</v>
      </c>
      <c r="T256" s="6" t="s">
        <v>50</v>
      </c>
      <c r="U256" s="6">
        <v>3.32</v>
      </c>
      <c r="V256" s="6">
        <v>3</v>
      </c>
      <c r="W256" s="6">
        <v>7</v>
      </c>
      <c r="X256" s="7">
        <v>43479</v>
      </c>
      <c r="Y256" s="6">
        <v>0</v>
      </c>
      <c r="Z256" s="8">
        <v>16</v>
      </c>
      <c r="AA256" s="9">
        <f>DATEDIF(Table1[[#This Row],[DateofBirth]],"1-1-2020","y")</f>
        <v>49</v>
      </c>
      <c r="AB256" s="10" t="str" cm="1">
        <f t="array" ref="AB256">_xlfn.IFS(Table1[[#This Row],[age]]&lt; 20,"&lt;20",Table1[[#This Row],[age]]&lt; 30,"21-30",Table1[[#This Row],[age]]&lt; 40,"31-40", Table1[[#This Row],[age]]&lt; 50,"41-50",Table1[[#This Row],[age]]&lt; 60,"51-60",Table1[[#This Row],[age]]&lt;70,"60+")</f>
        <v>41-50</v>
      </c>
    </row>
    <row r="257" spans="1:28" ht="13.5" customHeight="1">
      <c r="A257" s="5" t="s">
        <v>416</v>
      </c>
      <c r="B257" s="6">
        <v>10039</v>
      </c>
      <c r="C257" s="6">
        <v>51920</v>
      </c>
      <c r="D257" s="6" t="s">
        <v>271</v>
      </c>
      <c r="E257" s="6" t="s">
        <v>30</v>
      </c>
      <c r="F257" s="6">
        <v>2330</v>
      </c>
      <c r="G257" s="7">
        <v>32282</v>
      </c>
      <c r="H257" s="6" t="s">
        <v>53</v>
      </c>
      <c r="I257" s="6" t="s">
        <v>32</v>
      </c>
      <c r="J257" s="6" t="s">
        <v>33</v>
      </c>
      <c r="K257" s="6" t="s">
        <v>34</v>
      </c>
      <c r="L257" s="6" t="s">
        <v>35</v>
      </c>
      <c r="M257" s="7">
        <v>42009</v>
      </c>
      <c r="N257" s="7">
        <v>32874</v>
      </c>
      <c r="O257" s="6" t="s">
        <v>36</v>
      </c>
      <c r="P257" s="6" t="s">
        <v>37</v>
      </c>
      <c r="Q257" s="6" t="s">
        <v>118</v>
      </c>
      <c r="R257" s="6" t="s">
        <v>119</v>
      </c>
      <c r="S257" s="6" t="s">
        <v>193</v>
      </c>
      <c r="T257" s="6" t="s">
        <v>50</v>
      </c>
      <c r="U257" s="6">
        <v>5</v>
      </c>
      <c r="V257" s="6">
        <v>3</v>
      </c>
      <c r="W257" s="6">
        <v>5</v>
      </c>
      <c r="X257" s="7">
        <v>43480</v>
      </c>
      <c r="Y257" s="6">
        <v>0</v>
      </c>
      <c r="Z257" s="8">
        <v>2</v>
      </c>
      <c r="AA257" s="9">
        <f>DATEDIF(Table1[[#This Row],[DateofBirth]],"1-1-2020","y")</f>
        <v>31</v>
      </c>
      <c r="AB257" s="10" t="str" cm="1">
        <f t="array" ref="AB257">_xlfn.IFS(Table1[[#This Row],[age]]&lt; 20,"&lt;20",Table1[[#This Row],[age]]&lt; 30,"21-30",Table1[[#This Row],[age]]&lt; 40,"31-40", Table1[[#This Row],[age]]&lt; 50,"41-50",Table1[[#This Row],[age]]&lt; 60,"51-60",Table1[[#This Row],[age]]&lt;70,"60+")</f>
        <v>31-40</v>
      </c>
    </row>
    <row r="258" spans="1:28" ht="13.5" customHeight="1">
      <c r="A258" s="5" t="s">
        <v>417</v>
      </c>
      <c r="B258" s="6">
        <v>10095</v>
      </c>
      <c r="C258" s="6">
        <v>63878</v>
      </c>
      <c r="D258" s="6" t="s">
        <v>52</v>
      </c>
      <c r="E258" s="6" t="s">
        <v>30</v>
      </c>
      <c r="F258" s="6">
        <v>1851</v>
      </c>
      <c r="G258" s="7">
        <v>32106</v>
      </c>
      <c r="H258" s="6" t="s">
        <v>53</v>
      </c>
      <c r="I258" s="6" t="s">
        <v>32</v>
      </c>
      <c r="J258" s="6" t="s">
        <v>33</v>
      </c>
      <c r="K258" s="6" t="s">
        <v>34</v>
      </c>
      <c r="L258" s="6" t="s">
        <v>35</v>
      </c>
      <c r="M258" s="7">
        <v>40112</v>
      </c>
      <c r="N258" s="7">
        <v>42220</v>
      </c>
      <c r="O258" s="6" t="s">
        <v>288</v>
      </c>
      <c r="P258" s="6" t="s">
        <v>46</v>
      </c>
      <c r="Q258" s="6" t="s">
        <v>38</v>
      </c>
      <c r="R258" s="6" t="s">
        <v>39</v>
      </c>
      <c r="S258" s="6" t="s">
        <v>109</v>
      </c>
      <c r="T258" s="6" t="s">
        <v>50</v>
      </c>
      <c r="U258" s="6">
        <v>4.68</v>
      </c>
      <c r="V258" s="6">
        <v>4</v>
      </c>
      <c r="W258" s="6">
        <v>0</v>
      </c>
      <c r="X258" s="7">
        <v>42039</v>
      </c>
      <c r="Y258" s="6">
        <v>0</v>
      </c>
      <c r="Z258" s="8">
        <v>20</v>
      </c>
      <c r="AA258" s="9">
        <f>DATEDIF(Table1[[#This Row],[DateofBirth]],"1-1-2020","y")</f>
        <v>32</v>
      </c>
      <c r="AB258" s="10" t="str" cm="1">
        <f t="array" ref="AB258">_xlfn.IFS(Table1[[#This Row],[age]]&lt; 20,"&lt;20",Table1[[#This Row],[age]]&lt; 30,"21-30",Table1[[#This Row],[age]]&lt; 40,"31-40", Table1[[#This Row],[age]]&lt; 50,"41-50",Table1[[#This Row],[age]]&lt; 60,"51-60",Table1[[#This Row],[age]]&lt;70,"60+")</f>
        <v>31-40</v>
      </c>
    </row>
    <row r="259" spans="1:28" ht="13.5" customHeight="1">
      <c r="A259" s="5" t="s">
        <v>418</v>
      </c>
      <c r="B259" s="6">
        <v>10027</v>
      </c>
      <c r="C259" s="6">
        <v>60656</v>
      </c>
      <c r="D259" s="6" t="s">
        <v>52</v>
      </c>
      <c r="E259" s="6" t="s">
        <v>30</v>
      </c>
      <c r="F259" s="6">
        <v>2045</v>
      </c>
      <c r="G259" s="7">
        <v>23314</v>
      </c>
      <c r="H259" s="6" t="s">
        <v>31</v>
      </c>
      <c r="I259" s="6" t="s">
        <v>32</v>
      </c>
      <c r="J259" s="6" t="s">
        <v>33</v>
      </c>
      <c r="K259" s="6" t="s">
        <v>34</v>
      </c>
      <c r="L259" s="6" t="s">
        <v>35</v>
      </c>
      <c r="M259" s="7">
        <v>41911</v>
      </c>
      <c r="N259" s="7">
        <v>32874</v>
      </c>
      <c r="O259" s="6" t="s">
        <v>36</v>
      </c>
      <c r="P259" s="6" t="s">
        <v>37</v>
      </c>
      <c r="Q259" s="6" t="s">
        <v>38</v>
      </c>
      <c r="R259" s="6" t="s">
        <v>57</v>
      </c>
      <c r="S259" s="6" t="s">
        <v>49</v>
      </c>
      <c r="T259" s="6" t="s">
        <v>41</v>
      </c>
      <c r="U259" s="6">
        <v>4.3</v>
      </c>
      <c r="V259" s="6">
        <v>3</v>
      </c>
      <c r="W259" s="6">
        <v>0</v>
      </c>
      <c r="X259" s="7">
        <v>43493</v>
      </c>
      <c r="Y259" s="6">
        <v>0</v>
      </c>
      <c r="Z259" s="8">
        <v>4</v>
      </c>
      <c r="AA259" s="9">
        <f>DATEDIF(Table1[[#This Row],[DateofBirth]],"1-1-2020","y")</f>
        <v>56</v>
      </c>
      <c r="AB259" s="10" t="str" cm="1">
        <f t="array" ref="AB259">_xlfn.IFS(Table1[[#This Row],[age]]&lt; 20,"&lt;20",Table1[[#This Row],[age]]&lt; 30,"21-30",Table1[[#This Row],[age]]&lt; 40,"31-40", Table1[[#This Row],[age]]&lt; 50,"41-50",Table1[[#This Row],[age]]&lt; 60,"51-60",Table1[[#This Row],[age]]&lt;70,"60+")</f>
        <v>51-60</v>
      </c>
    </row>
    <row r="260" spans="1:28" ht="13.5" customHeight="1">
      <c r="A260" s="5" t="s">
        <v>419</v>
      </c>
      <c r="B260" s="6">
        <v>10291</v>
      </c>
      <c r="C260" s="6">
        <v>72992</v>
      </c>
      <c r="D260" s="6" t="s">
        <v>173</v>
      </c>
      <c r="E260" s="6" t="s">
        <v>30</v>
      </c>
      <c r="F260" s="6">
        <v>1886</v>
      </c>
      <c r="G260" s="7">
        <v>30910</v>
      </c>
      <c r="H260" s="6" t="s">
        <v>31</v>
      </c>
      <c r="I260" s="6" t="s">
        <v>59</v>
      </c>
      <c r="J260" s="6" t="s">
        <v>33</v>
      </c>
      <c r="K260" s="6" t="s">
        <v>34</v>
      </c>
      <c r="L260" s="6" t="s">
        <v>74</v>
      </c>
      <c r="M260" s="7">
        <v>41777</v>
      </c>
      <c r="N260" s="7">
        <v>32874</v>
      </c>
      <c r="O260" s="6" t="s">
        <v>36</v>
      </c>
      <c r="P260" s="6" t="s">
        <v>37</v>
      </c>
      <c r="Q260" s="6" t="s">
        <v>133</v>
      </c>
      <c r="R260" s="6" t="s">
        <v>174</v>
      </c>
      <c r="S260" s="6" t="s">
        <v>76</v>
      </c>
      <c r="T260" s="6" t="s">
        <v>110</v>
      </c>
      <c r="U260" s="6">
        <v>2.4</v>
      </c>
      <c r="V260" s="6">
        <v>4</v>
      </c>
      <c r="W260" s="6">
        <v>0</v>
      </c>
      <c r="X260" s="7">
        <v>43481</v>
      </c>
      <c r="Y260" s="6">
        <v>2</v>
      </c>
      <c r="Z260" s="8">
        <v>16</v>
      </c>
      <c r="AA260" s="9">
        <f>DATEDIF(Table1[[#This Row],[DateofBirth]],"1-1-2020","y")</f>
        <v>35</v>
      </c>
      <c r="AB260" s="10" t="str" cm="1">
        <f t="array" ref="AB260">_xlfn.IFS(Table1[[#This Row],[age]]&lt; 20,"&lt;20",Table1[[#This Row],[age]]&lt; 30,"21-30",Table1[[#This Row],[age]]&lt; 40,"31-40", Table1[[#This Row],[age]]&lt; 50,"41-50",Table1[[#This Row],[age]]&lt; 60,"51-60",Table1[[#This Row],[age]]&lt;70,"60+")</f>
        <v>31-40</v>
      </c>
    </row>
    <row r="261" spans="1:28" ht="13.5" customHeight="1">
      <c r="A261" s="5" t="s">
        <v>420</v>
      </c>
      <c r="B261" s="6">
        <v>10153</v>
      </c>
      <c r="C261" s="6">
        <v>55000</v>
      </c>
      <c r="D261" s="6" t="s">
        <v>271</v>
      </c>
      <c r="E261" s="6" t="s">
        <v>30</v>
      </c>
      <c r="F261" s="6">
        <v>1844</v>
      </c>
      <c r="G261" s="7">
        <v>31942</v>
      </c>
      <c r="H261" s="6" t="s">
        <v>53</v>
      </c>
      <c r="I261" s="6" t="s">
        <v>44</v>
      </c>
      <c r="J261" s="6" t="s">
        <v>33</v>
      </c>
      <c r="K261" s="6" t="s">
        <v>34</v>
      </c>
      <c r="L261" s="6" t="s">
        <v>74</v>
      </c>
      <c r="M261" s="7">
        <v>40812</v>
      </c>
      <c r="N261" s="7">
        <v>41542</v>
      </c>
      <c r="O261" s="6" t="s">
        <v>45</v>
      </c>
      <c r="P261" s="6" t="s">
        <v>46</v>
      </c>
      <c r="Q261" s="6" t="s">
        <v>118</v>
      </c>
      <c r="R261" s="6" t="s">
        <v>119</v>
      </c>
      <c r="S261" s="6" t="s">
        <v>76</v>
      </c>
      <c r="T261" s="6" t="s">
        <v>50</v>
      </c>
      <c r="U261" s="6">
        <v>3.8</v>
      </c>
      <c r="V261" s="6">
        <v>4</v>
      </c>
      <c r="W261" s="6">
        <v>4</v>
      </c>
      <c r="X261" s="7">
        <v>41501</v>
      </c>
      <c r="Y261" s="6">
        <v>0</v>
      </c>
      <c r="Z261" s="8">
        <v>17</v>
      </c>
      <c r="AA261" s="9">
        <f>DATEDIF(Table1[[#This Row],[DateofBirth]],"1-1-2020","y")</f>
        <v>32</v>
      </c>
      <c r="AB261" s="10" t="str" cm="1">
        <f t="array" ref="AB261">_xlfn.IFS(Table1[[#This Row],[age]]&lt; 20,"&lt;20",Table1[[#This Row],[age]]&lt; 30,"21-30",Table1[[#This Row],[age]]&lt; 40,"31-40", Table1[[#This Row],[age]]&lt; 50,"41-50",Table1[[#This Row],[age]]&lt; 60,"51-60",Table1[[#This Row],[age]]&lt;70,"60+")</f>
        <v>31-40</v>
      </c>
    </row>
    <row r="262" spans="1:28" ht="13.5" customHeight="1">
      <c r="A262" s="5" t="s">
        <v>421</v>
      </c>
      <c r="B262" s="6">
        <v>10157</v>
      </c>
      <c r="C262" s="6">
        <v>58939</v>
      </c>
      <c r="D262" s="6" t="s">
        <v>29</v>
      </c>
      <c r="E262" s="6" t="s">
        <v>30</v>
      </c>
      <c r="F262" s="6">
        <v>2130</v>
      </c>
      <c r="G262" s="7">
        <v>23775</v>
      </c>
      <c r="H262" s="6" t="s">
        <v>53</v>
      </c>
      <c r="I262" s="6" t="s">
        <v>32</v>
      </c>
      <c r="J262" s="6" t="s">
        <v>33</v>
      </c>
      <c r="K262" s="6" t="s">
        <v>34</v>
      </c>
      <c r="L262" s="6" t="s">
        <v>35</v>
      </c>
      <c r="M262" s="7">
        <v>41589</v>
      </c>
      <c r="N262" s="7">
        <v>32874</v>
      </c>
      <c r="O262" s="6" t="s">
        <v>36</v>
      </c>
      <c r="P262" s="6" t="s">
        <v>37</v>
      </c>
      <c r="Q262" s="6" t="s">
        <v>38</v>
      </c>
      <c r="R262" s="6" t="s">
        <v>71</v>
      </c>
      <c r="S262" s="6" t="s">
        <v>72</v>
      </c>
      <c r="T262" s="6" t="s">
        <v>50</v>
      </c>
      <c r="U262" s="6">
        <v>3.73</v>
      </c>
      <c r="V262" s="6">
        <v>3</v>
      </c>
      <c r="W262" s="6">
        <v>0</v>
      </c>
      <c r="X262" s="7">
        <v>43489</v>
      </c>
      <c r="Y262" s="6">
        <v>0</v>
      </c>
      <c r="Z262" s="8">
        <v>16</v>
      </c>
      <c r="AA262" s="9">
        <f>DATEDIF(Table1[[#This Row],[DateofBirth]],"1-1-2020","y")</f>
        <v>54</v>
      </c>
      <c r="AB262" s="10" t="str" cm="1">
        <f t="array" ref="AB262">_xlfn.IFS(Table1[[#This Row],[age]]&lt; 20,"&lt;20",Table1[[#This Row],[age]]&lt; 30,"21-30",Table1[[#This Row],[age]]&lt; 40,"31-40", Table1[[#This Row],[age]]&lt; 50,"41-50",Table1[[#This Row],[age]]&lt; 60,"51-60",Table1[[#This Row],[age]]&lt;70,"60+")</f>
        <v>51-60</v>
      </c>
    </row>
    <row r="263" spans="1:28" ht="13.5" customHeight="1">
      <c r="A263" s="5" t="s">
        <v>422</v>
      </c>
      <c r="B263" s="6">
        <v>10119</v>
      </c>
      <c r="C263" s="6">
        <v>66593</v>
      </c>
      <c r="D263" s="6" t="s">
        <v>78</v>
      </c>
      <c r="E263" s="6" t="s">
        <v>30</v>
      </c>
      <c r="F263" s="6">
        <v>2360</v>
      </c>
      <c r="G263" s="7">
        <v>27001</v>
      </c>
      <c r="H263" s="6" t="s">
        <v>53</v>
      </c>
      <c r="I263" s="6" t="s">
        <v>44</v>
      </c>
      <c r="J263" s="6" t="s">
        <v>33</v>
      </c>
      <c r="K263" s="6" t="s">
        <v>34</v>
      </c>
      <c r="L263" s="6" t="s">
        <v>74</v>
      </c>
      <c r="M263" s="7">
        <v>40822</v>
      </c>
      <c r="N263" s="7">
        <v>32874</v>
      </c>
      <c r="O263" s="6" t="s">
        <v>36</v>
      </c>
      <c r="P263" s="6" t="s">
        <v>37</v>
      </c>
      <c r="Q263" s="6" t="s">
        <v>47</v>
      </c>
      <c r="R263" s="6" t="s">
        <v>158</v>
      </c>
      <c r="S263" s="6" t="s">
        <v>40</v>
      </c>
      <c r="T263" s="6" t="s">
        <v>50</v>
      </c>
      <c r="U263" s="6">
        <v>4.3</v>
      </c>
      <c r="V263" s="6">
        <v>3</v>
      </c>
      <c r="W263" s="6">
        <v>5</v>
      </c>
      <c r="X263" s="7">
        <v>43679</v>
      </c>
      <c r="Y263" s="6">
        <v>0</v>
      </c>
      <c r="Z263" s="8">
        <v>19</v>
      </c>
      <c r="AA263" s="9">
        <f>DATEDIF(Table1[[#This Row],[DateofBirth]],"1-1-2020","y")</f>
        <v>46</v>
      </c>
      <c r="AB263" s="10" t="str" cm="1">
        <f t="array" ref="AB263">_xlfn.IFS(Table1[[#This Row],[age]]&lt; 20,"&lt;20",Table1[[#This Row],[age]]&lt; 30,"21-30",Table1[[#This Row],[age]]&lt; 40,"31-40", Table1[[#This Row],[age]]&lt; 50,"41-50",Table1[[#This Row],[age]]&lt; 60,"51-60",Table1[[#This Row],[age]]&lt;70,"60+")</f>
        <v>41-50</v>
      </c>
    </row>
    <row r="264" spans="1:28" ht="13.5" customHeight="1">
      <c r="A264" s="5" t="s">
        <v>423</v>
      </c>
      <c r="B264" s="6">
        <v>10180</v>
      </c>
      <c r="C264" s="6">
        <v>87565</v>
      </c>
      <c r="D264" s="6" t="s">
        <v>171</v>
      </c>
      <c r="E264" s="6" t="s">
        <v>30</v>
      </c>
      <c r="F264" s="6">
        <v>1545</v>
      </c>
      <c r="G264" s="7">
        <v>30561</v>
      </c>
      <c r="H264" s="6" t="s">
        <v>31</v>
      </c>
      <c r="I264" s="6" t="s">
        <v>44</v>
      </c>
      <c r="J264" s="6" t="s">
        <v>33</v>
      </c>
      <c r="K264" s="6" t="s">
        <v>34</v>
      </c>
      <c r="L264" s="6" t="s">
        <v>104</v>
      </c>
      <c r="M264" s="7">
        <v>42551</v>
      </c>
      <c r="N264" s="7">
        <v>32874</v>
      </c>
      <c r="O264" s="6" t="s">
        <v>36</v>
      </c>
      <c r="P264" s="6" t="s">
        <v>37</v>
      </c>
      <c r="Q264" s="6" t="s">
        <v>47</v>
      </c>
      <c r="R264" s="6" t="s">
        <v>79</v>
      </c>
      <c r="S264" s="6" t="s">
        <v>40</v>
      </c>
      <c r="T264" s="6" t="s">
        <v>50</v>
      </c>
      <c r="U264" s="6">
        <v>3.27</v>
      </c>
      <c r="V264" s="6">
        <v>4</v>
      </c>
      <c r="W264" s="6">
        <v>5</v>
      </c>
      <c r="X264" s="7">
        <v>43479</v>
      </c>
      <c r="Y264" s="6">
        <v>0</v>
      </c>
      <c r="Z264" s="8">
        <v>13</v>
      </c>
      <c r="AA264" s="9">
        <f>DATEDIF(Table1[[#This Row],[DateofBirth]],"1-1-2020","y")</f>
        <v>36</v>
      </c>
      <c r="AB264" s="10" t="str" cm="1">
        <f t="array" ref="AB264">_xlfn.IFS(Table1[[#This Row],[age]]&lt; 20,"&lt;20",Table1[[#This Row],[age]]&lt; 30,"21-30",Table1[[#This Row],[age]]&lt; 40,"31-40", Table1[[#This Row],[age]]&lt; 50,"41-50",Table1[[#This Row],[age]]&lt; 60,"51-60",Table1[[#This Row],[age]]&lt;70,"60+")</f>
        <v>31-40</v>
      </c>
    </row>
    <row r="265" spans="1:28" ht="13.5" customHeight="1">
      <c r="A265" s="5" t="s">
        <v>424</v>
      </c>
      <c r="B265" s="6">
        <v>10302</v>
      </c>
      <c r="C265" s="6">
        <v>64021</v>
      </c>
      <c r="D265" s="6" t="s">
        <v>29</v>
      </c>
      <c r="E265" s="6" t="s">
        <v>30</v>
      </c>
      <c r="F265" s="6">
        <v>2093</v>
      </c>
      <c r="G265" s="7">
        <v>25039</v>
      </c>
      <c r="H265" s="6" t="s">
        <v>53</v>
      </c>
      <c r="I265" s="6" t="s">
        <v>44</v>
      </c>
      <c r="J265" s="6" t="s">
        <v>33</v>
      </c>
      <c r="K265" s="6" t="s">
        <v>34</v>
      </c>
      <c r="L265" s="6" t="s">
        <v>35</v>
      </c>
      <c r="M265" s="7">
        <v>40959</v>
      </c>
      <c r="N265" s="7">
        <v>32874</v>
      </c>
      <c r="O265" s="6" t="s">
        <v>36</v>
      </c>
      <c r="P265" s="6" t="s">
        <v>37</v>
      </c>
      <c r="Q265" s="6" t="s">
        <v>38</v>
      </c>
      <c r="R265" s="6" t="s">
        <v>75</v>
      </c>
      <c r="S265" s="6" t="s">
        <v>49</v>
      </c>
      <c r="T265" s="6" t="s">
        <v>183</v>
      </c>
      <c r="U265" s="6">
        <v>2.4</v>
      </c>
      <c r="V265" s="6">
        <v>2</v>
      </c>
      <c r="W265" s="6">
        <v>1</v>
      </c>
      <c r="X265" s="7">
        <v>43521</v>
      </c>
      <c r="Y265" s="6">
        <v>6</v>
      </c>
      <c r="Z265" s="8">
        <v>20</v>
      </c>
      <c r="AA265" s="9">
        <f>DATEDIF(Table1[[#This Row],[DateofBirth]],"1-1-2020","y")</f>
        <v>51</v>
      </c>
      <c r="AB265" s="10" t="str" cm="1">
        <f t="array" ref="AB265">_xlfn.IFS(Table1[[#This Row],[age]]&lt; 20,"&lt;20",Table1[[#This Row],[age]]&lt; 30,"21-30",Table1[[#This Row],[age]]&lt; 40,"31-40", Table1[[#This Row],[age]]&lt; 50,"41-50",Table1[[#This Row],[age]]&lt; 60,"51-60",Table1[[#This Row],[age]]&lt;70,"60+")</f>
        <v>51-60</v>
      </c>
    </row>
    <row r="266" spans="1:28" ht="13.5" customHeight="1">
      <c r="A266" s="5" t="s">
        <v>425</v>
      </c>
      <c r="B266" s="6">
        <v>10090</v>
      </c>
      <c r="C266" s="6">
        <v>65714</v>
      </c>
      <c r="D266" s="6" t="s">
        <v>121</v>
      </c>
      <c r="E266" s="6" t="s">
        <v>30</v>
      </c>
      <c r="F266" s="6">
        <v>2451</v>
      </c>
      <c r="G266" s="7">
        <v>27667</v>
      </c>
      <c r="H266" s="6" t="s">
        <v>53</v>
      </c>
      <c r="I266" s="6" t="s">
        <v>44</v>
      </c>
      <c r="J266" s="6" t="s">
        <v>33</v>
      </c>
      <c r="K266" s="6" t="s">
        <v>34</v>
      </c>
      <c r="L266" s="6" t="s">
        <v>35</v>
      </c>
      <c r="M266" s="7">
        <v>40949</v>
      </c>
      <c r="N266" s="7">
        <v>32874</v>
      </c>
      <c r="O266" s="6" t="s">
        <v>36</v>
      </c>
      <c r="P266" s="6" t="s">
        <v>37</v>
      </c>
      <c r="Q266" s="6" t="s">
        <v>38</v>
      </c>
      <c r="R266" s="6" t="s">
        <v>123</v>
      </c>
      <c r="S266" s="6" t="s">
        <v>40</v>
      </c>
      <c r="T266" s="6" t="s">
        <v>50</v>
      </c>
      <c r="U266" s="6">
        <v>4.83</v>
      </c>
      <c r="V266" s="6">
        <v>5</v>
      </c>
      <c r="W266" s="6">
        <v>0</v>
      </c>
      <c r="X266" s="7">
        <v>43510</v>
      </c>
      <c r="Y266" s="6">
        <v>0</v>
      </c>
      <c r="Z266" s="8">
        <v>15</v>
      </c>
      <c r="AA266" s="9">
        <f>DATEDIF(Table1[[#This Row],[DateofBirth]],"1-1-2020","y")</f>
        <v>44</v>
      </c>
      <c r="AB266" s="10" t="str" cm="1">
        <f t="array" ref="AB266">_xlfn.IFS(Table1[[#This Row],[age]]&lt; 20,"&lt;20",Table1[[#This Row],[age]]&lt; 30,"21-30",Table1[[#This Row],[age]]&lt; 40,"31-40", Table1[[#This Row],[age]]&lt; 50,"41-50",Table1[[#This Row],[age]]&lt; 60,"51-60",Table1[[#This Row],[age]]&lt;70,"60+")</f>
        <v>41-50</v>
      </c>
    </row>
    <row r="267" spans="1:28" ht="13.5" customHeight="1">
      <c r="A267" s="5" t="s">
        <v>426</v>
      </c>
      <c r="B267" s="6">
        <v>10030</v>
      </c>
      <c r="C267" s="6">
        <v>62425</v>
      </c>
      <c r="D267" s="6" t="s">
        <v>29</v>
      </c>
      <c r="E267" s="6" t="s">
        <v>30</v>
      </c>
      <c r="F267" s="6">
        <v>2359</v>
      </c>
      <c r="G267" s="7">
        <v>26749</v>
      </c>
      <c r="H267" s="6" t="s">
        <v>53</v>
      </c>
      <c r="I267" s="6" t="s">
        <v>59</v>
      </c>
      <c r="J267" s="6" t="s">
        <v>33</v>
      </c>
      <c r="K267" s="6" t="s">
        <v>34</v>
      </c>
      <c r="L267" s="6" t="s">
        <v>35</v>
      </c>
      <c r="M267" s="7">
        <v>41407</v>
      </c>
      <c r="N267" s="7">
        <v>42184</v>
      </c>
      <c r="O267" s="6" t="s">
        <v>85</v>
      </c>
      <c r="P267" s="6" t="s">
        <v>46</v>
      </c>
      <c r="Q267" s="6" t="s">
        <v>38</v>
      </c>
      <c r="R267" s="6" t="s">
        <v>83</v>
      </c>
      <c r="S267" s="6" t="s">
        <v>40</v>
      </c>
      <c r="T267" s="6" t="s">
        <v>41</v>
      </c>
      <c r="U267" s="6">
        <v>4.0999999999999996</v>
      </c>
      <c r="V267" s="6">
        <v>4</v>
      </c>
      <c r="W267" s="6">
        <v>0</v>
      </c>
      <c r="X267" s="7">
        <v>42038</v>
      </c>
      <c r="Y267" s="6">
        <v>0</v>
      </c>
      <c r="Z267" s="8">
        <v>16</v>
      </c>
      <c r="AA267" s="9">
        <f>DATEDIF(Table1[[#This Row],[DateofBirth]],"1-1-2020","y")</f>
        <v>46</v>
      </c>
      <c r="AB267" s="10" t="str" cm="1">
        <f t="array" ref="AB267">_xlfn.IFS(Table1[[#This Row],[age]]&lt; 20,"&lt;20",Table1[[#This Row],[age]]&lt; 30,"21-30",Table1[[#This Row],[age]]&lt; 40,"31-40", Table1[[#This Row],[age]]&lt; 50,"41-50",Table1[[#This Row],[age]]&lt; 60,"51-60",Table1[[#This Row],[age]]&lt;70,"60+")</f>
        <v>41-50</v>
      </c>
    </row>
    <row r="268" spans="1:28" ht="13.5" customHeight="1">
      <c r="A268" s="5" t="s">
        <v>427</v>
      </c>
      <c r="B268" s="6">
        <v>10278</v>
      </c>
      <c r="C268" s="6">
        <v>47961</v>
      </c>
      <c r="D268" s="6" t="s">
        <v>29</v>
      </c>
      <c r="E268" s="6" t="s">
        <v>30</v>
      </c>
      <c r="F268" s="6">
        <v>2050</v>
      </c>
      <c r="G268" s="7">
        <v>30188</v>
      </c>
      <c r="H268" s="6" t="s">
        <v>53</v>
      </c>
      <c r="I268" s="6" t="s">
        <v>59</v>
      </c>
      <c r="J268" s="6" t="s">
        <v>33</v>
      </c>
      <c r="K268" s="6" t="s">
        <v>34</v>
      </c>
      <c r="L268" s="6" t="s">
        <v>90</v>
      </c>
      <c r="M268" s="7">
        <v>40817</v>
      </c>
      <c r="N268" s="7">
        <v>32874</v>
      </c>
      <c r="O268" s="6" t="s">
        <v>36</v>
      </c>
      <c r="P268" s="6" t="s">
        <v>37</v>
      </c>
      <c r="Q268" s="6" t="s">
        <v>38</v>
      </c>
      <c r="R268" s="6" t="s">
        <v>55</v>
      </c>
      <c r="S268" s="6" t="s">
        <v>62</v>
      </c>
      <c r="T268" s="6" t="s">
        <v>50</v>
      </c>
      <c r="U268" s="6">
        <v>4.0999999999999996</v>
      </c>
      <c r="V268" s="6">
        <v>4</v>
      </c>
      <c r="W268" s="6">
        <v>0</v>
      </c>
      <c r="X268" s="7">
        <v>43648</v>
      </c>
      <c r="Y268" s="6">
        <v>0</v>
      </c>
      <c r="Z268" s="8">
        <v>9</v>
      </c>
      <c r="AA268" s="9">
        <f>DATEDIF(Table1[[#This Row],[DateofBirth]],"1-1-2020","y")</f>
        <v>37</v>
      </c>
      <c r="AB268" s="10" t="str" cm="1">
        <f t="array" ref="AB268">_xlfn.IFS(Table1[[#This Row],[age]]&lt; 20,"&lt;20",Table1[[#This Row],[age]]&lt; 30,"21-30",Table1[[#This Row],[age]]&lt; 40,"31-40", Table1[[#This Row],[age]]&lt; 50,"41-50",Table1[[#This Row],[age]]&lt; 60,"51-60",Table1[[#This Row],[age]]&lt;70,"60+")</f>
        <v>31-40</v>
      </c>
    </row>
    <row r="269" spans="1:28" ht="13.5" customHeight="1">
      <c r="A269" s="5" t="s">
        <v>428</v>
      </c>
      <c r="B269" s="6">
        <v>10307</v>
      </c>
      <c r="C269" s="6">
        <v>58273</v>
      </c>
      <c r="D269" s="6" t="s">
        <v>131</v>
      </c>
      <c r="E269" s="6" t="s">
        <v>429</v>
      </c>
      <c r="F269" s="6">
        <v>89139</v>
      </c>
      <c r="G269" s="7">
        <v>27277</v>
      </c>
      <c r="H269" s="6" t="s">
        <v>31</v>
      </c>
      <c r="I269" s="6" t="s">
        <v>44</v>
      </c>
      <c r="J269" s="6" t="s">
        <v>33</v>
      </c>
      <c r="K269" s="6" t="s">
        <v>34</v>
      </c>
      <c r="L269" s="6" t="s">
        <v>35</v>
      </c>
      <c r="M269" s="7">
        <v>41978</v>
      </c>
      <c r="N269" s="7">
        <v>32874</v>
      </c>
      <c r="O269" s="6" t="s">
        <v>36</v>
      </c>
      <c r="P269" s="6" t="s">
        <v>37</v>
      </c>
      <c r="Q269" s="6" t="s">
        <v>133</v>
      </c>
      <c r="R269" s="6" t="s">
        <v>152</v>
      </c>
      <c r="S269" s="6" t="s">
        <v>193</v>
      </c>
      <c r="T269" s="6" t="s">
        <v>183</v>
      </c>
      <c r="U269" s="6">
        <v>1.81</v>
      </c>
      <c r="V269" s="6">
        <v>2</v>
      </c>
      <c r="W269" s="6">
        <v>0</v>
      </c>
      <c r="X269" s="7">
        <v>43482</v>
      </c>
      <c r="Y269" s="6">
        <v>3</v>
      </c>
      <c r="Z269" s="8">
        <v>5</v>
      </c>
      <c r="AA269" s="9">
        <f>DATEDIF(Table1[[#This Row],[DateofBirth]],"1-1-2020","y")</f>
        <v>45</v>
      </c>
      <c r="AB269" s="10" t="str" cm="1">
        <f t="array" ref="AB269">_xlfn.IFS(Table1[[#This Row],[age]]&lt; 20,"&lt;20",Table1[[#This Row],[age]]&lt; 30,"21-30",Table1[[#This Row],[age]]&lt; 40,"31-40", Table1[[#This Row],[age]]&lt; 50,"41-50",Table1[[#This Row],[age]]&lt; 60,"51-60",Table1[[#This Row],[age]]&lt;70,"60+")</f>
        <v>41-50</v>
      </c>
    </row>
    <row r="270" spans="1:28" ht="13.5" customHeight="1">
      <c r="A270" s="5" t="s">
        <v>430</v>
      </c>
      <c r="B270" s="6">
        <v>10147</v>
      </c>
      <c r="C270" s="6">
        <v>63003</v>
      </c>
      <c r="D270" s="6" t="s">
        <v>126</v>
      </c>
      <c r="E270" s="6" t="s">
        <v>30</v>
      </c>
      <c r="F270" s="6">
        <v>2703</v>
      </c>
      <c r="G270" s="7">
        <v>31421</v>
      </c>
      <c r="H270" s="6" t="s">
        <v>31</v>
      </c>
      <c r="I270" s="6" t="s">
        <v>32</v>
      </c>
      <c r="J270" s="6" t="s">
        <v>33</v>
      </c>
      <c r="K270" s="6" t="s">
        <v>34</v>
      </c>
      <c r="L270" s="6" t="s">
        <v>35</v>
      </c>
      <c r="M270" s="7">
        <v>41911</v>
      </c>
      <c r="N270" s="7">
        <v>32874</v>
      </c>
      <c r="O270" s="6" t="s">
        <v>36</v>
      </c>
      <c r="P270" s="6" t="s">
        <v>37</v>
      </c>
      <c r="Q270" s="6" t="s">
        <v>118</v>
      </c>
      <c r="R270" s="6" t="s">
        <v>119</v>
      </c>
      <c r="S270" s="6" t="s">
        <v>49</v>
      </c>
      <c r="T270" s="6" t="s">
        <v>50</v>
      </c>
      <c r="U270" s="6">
        <v>3.9</v>
      </c>
      <c r="V270" s="6">
        <v>5</v>
      </c>
      <c r="W270" s="6">
        <v>5</v>
      </c>
      <c r="X270" s="7">
        <v>43483</v>
      </c>
      <c r="Y270" s="6">
        <v>0</v>
      </c>
      <c r="Z270" s="8">
        <v>9</v>
      </c>
      <c r="AA270" s="9">
        <f>DATEDIF(Table1[[#This Row],[DateofBirth]],"1-1-2020","y")</f>
        <v>33</v>
      </c>
      <c r="AB270" s="10" t="str" cm="1">
        <f t="array" ref="AB270">_xlfn.IFS(Table1[[#This Row],[age]]&lt; 20,"&lt;20",Table1[[#This Row],[age]]&lt; 30,"21-30",Table1[[#This Row],[age]]&lt; 40,"31-40", Table1[[#This Row],[age]]&lt; 50,"41-50",Table1[[#This Row],[age]]&lt; 60,"51-60",Table1[[#This Row],[age]]&lt;70,"60+")</f>
        <v>31-40</v>
      </c>
    </row>
    <row r="271" spans="1:28" ht="13.5" customHeight="1">
      <c r="A271" s="5" t="s">
        <v>431</v>
      </c>
      <c r="B271" s="6">
        <v>10266</v>
      </c>
      <c r="C271" s="6">
        <v>61355</v>
      </c>
      <c r="D271" s="6" t="s">
        <v>29</v>
      </c>
      <c r="E271" s="6" t="s">
        <v>30</v>
      </c>
      <c r="F271" s="6">
        <v>2301</v>
      </c>
      <c r="G271" s="7">
        <v>31120</v>
      </c>
      <c r="H271" s="6" t="s">
        <v>31</v>
      </c>
      <c r="I271" s="6" t="s">
        <v>44</v>
      </c>
      <c r="J271" s="6" t="s">
        <v>33</v>
      </c>
      <c r="K271" s="6" t="s">
        <v>34</v>
      </c>
      <c r="L271" s="6" t="s">
        <v>104</v>
      </c>
      <c r="M271" s="7">
        <v>41687</v>
      </c>
      <c r="N271" s="7">
        <v>32874</v>
      </c>
      <c r="O271" s="6" t="s">
        <v>36</v>
      </c>
      <c r="P271" s="6" t="s">
        <v>37</v>
      </c>
      <c r="Q271" s="6" t="s">
        <v>38</v>
      </c>
      <c r="R271" s="6" t="s">
        <v>91</v>
      </c>
      <c r="S271" s="6" t="s">
        <v>40</v>
      </c>
      <c r="T271" s="6" t="s">
        <v>50</v>
      </c>
      <c r="U271" s="6">
        <v>4.7</v>
      </c>
      <c r="V271" s="6">
        <v>3</v>
      </c>
      <c r="W271" s="6">
        <v>0</v>
      </c>
      <c r="X271" s="7">
        <v>43770</v>
      </c>
      <c r="Y271" s="6">
        <v>0</v>
      </c>
      <c r="Z271" s="8">
        <v>4</v>
      </c>
      <c r="AA271" s="9">
        <f>DATEDIF(Table1[[#This Row],[DateofBirth]],"1-1-2020","y")</f>
        <v>34</v>
      </c>
      <c r="AB271" s="10" t="str" cm="1">
        <f t="array" ref="AB271">_xlfn.IFS(Table1[[#This Row],[age]]&lt; 20,"&lt;20",Table1[[#This Row],[age]]&lt; 30,"21-30",Table1[[#This Row],[age]]&lt; 40,"31-40", Table1[[#This Row],[age]]&lt; 50,"41-50",Table1[[#This Row],[age]]&lt; 60,"51-60",Table1[[#This Row],[age]]&lt;70,"60+")</f>
        <v>31-40</v>
      </c>
    </row>
    <row r="272" spans="1:28" ht="13.5" customHeight="1">
      <c r="A272" s="5" t="s">
        <v>432</v>
      </c>
      <c r="B272" s="6">
        <v>10241</v>
      </c>
      <c r="C272" s="6">
        <v>60120</v>
      </c>
      <c r="D272" s="6" t="s">
        <v>131</v>
      </c>
      <c r="E272" s="6" t="s">
        <v>433</v>
      </c>
      <c r="F272" s="6">
        <v>59102</v>
      </c>
      <c r="G272" s="7">
        <v>32847</v>
      </c>
      <c r="H272" s="6" t="s">
        <v>53</v>
      </c>
      <c r="I272" s="6" t="s">
        <v>44</v>
      </c>
      <c r="J272" s="6" t="s">
        <v>33</v>
      </c>
      <c r="K272" s="6" t="s">
        <v>34</v>
      </c>
      <c r="L272" s="6" t="s">
        <v>74</v>
      </c>
      <c r="M272" s="7">
        <v>40448</v>
      </c>
      <c r="N272" s="7">
        <v>32874</v>
      </c>
      <c r="O272" s="6" t="s">
        <v>36</v>
      </c>
      <c r="P272" s="6" t="s">
        <v>37</v>
      </c>
      <c r="Q272" s="6" t="s">
        <v>133</v>
      </c>
      <c r="R272" s="6" t="s">
        <v>134</v>
      </c>
      <c r="S272" s="6" t="s">
        <v>49</v>
      </c>
      <c r="T272" s="6" t="s">
        <v>50</v>
      </c>
      <c r="U272" s="6">
        <v>4.0999999999999996</v>
      </c>
      <c r="V272" s="6">
        <v>4</v>
      </c>
      <c r="W272" s="6">
        <v>0</v>
      </c>
      <c r="X272" s="7">
        <v>43496</v>
      </c>
      <c r="Y272" s="6">
        <v>0</v>
      </c>
      <c r="Z272" s="8">
        <v>18</v>
      </c>
      <c r="AA272" s="9">
        <f>DATEDIF(Table1[[#This Row],[DateofBirth]],"1-1-2020","y")</f>
        <v>30</v>
      </c>
      <c r="AB272" s="10" t="str" cm="1">
        <f t="array" ref="AB272">_xlfn.IFS(Table1[[#This Row],[age]]&lt; 20,"&lt;20",Table1[[#This Row],[age]]&lt; 30,"21-30",Table1[[#This Row],[age]]&lt; 40,"31-40", Table1[[#This Row],[age]]&lt; 50,"41-50",Table1[[#This Row],[age]]&lt; 60,"51-60",Table1[[#This Row],[age]]&lt;70,"60+")</f>
        <v>31-40</v>
      </c>
    </row>
    <row r="273" spans="1:28" ht="13.5" customHeight="1">
      <c r="A273" s="5" t="s">
        <v>434</v>
      </c>
      <c r="B273" s="6">
        <v>10158</v>
      </c>
      <c r="C273" s="6">
        <v>63682</v>
      </c>
      <c r="D273" s="6" t="s">
        <v>121</v>
      </c>
      <c r="E273" s="6" t="s">
        <v>30</v>
      </c>
      <c r="F273" s="6">
        <v>1776</v>
      </c>
      <c r="G273" s="7">
        <v>28577</v>
      </c>
      <c r="H273" s="6" t="s">
        <v>53</v>
      </c>
      <c r="I273" s="6" t="s">
        <v>44</v>
      </c>
      <c r="J273" s="6" t="s">
        <v>33</v>
      </c>
      <c r="K273" s="6" t="s">
        <v>34</v>
      </c>
      <c r="L273" s="6" t="s">
        <v>74</v>
      </c>
      <c r="M273" s="7">
        <v>40026</v>
      </c>
      <c r="N273" s="7">
        <v>32874</v>
      </c>
      <c r="O273" s="6" t="s">
        <v>36</v>
      </c>
      <c r="P273" s="6" t="s">
        <v>37</v>
      </c>
      <c r="Q273" s="6" t="s">
        <v>38</v>
      </c>
      <c r="R273" s="6" t="s">
        <v>123</v>
      </c>
      <c r="S273" s="6" t="s">
        <v>49</v>
      </c>
      <c r="T273" s="6" t="s">
        <v>50</v>
      </c>
      <c r="U273" s="6">
        <v>3.73</v>
      </c>
      <c r="V273" s="6">
        <v>4</v>
      </c>
      <c r="W273" s="6">
        <v>0</v>
      </c>
      <c r="X273" s="7">
        <v>43489</v>
      </c>
      <c r="Y273" s="6">
        <v>0</v>
      </c>
      <c r="Z273" s="8">
        <v>12</v>
      </c>
      <c r="AA273" s="9">
        <f>DATEDIF(Table1[[#This Row],[DateofBirth]],"1-1-2020","y")</f>
        <v>41</v>
      </c>
      <c r="AB273" s="10" t="str" cm="1">
        <f t="array" ref="AB273">_xlfn.IFS(Table1[[#This Row],[age]]&lt; 20,"&lt;20",Table1[[#This Row],[age]]&lt; 30,"21-30",Table1[[#This Row],[age]]&lt; 40,"31-40", Table1[[#This Row],[age]]&lt; 50,"41-50",Table1[[#This Row],[age]]&lt; 60,"51-60",Table1[[#This Row],[age]]&lt;70,"60+")</f>
        <v>41-50</v>
      </c>
    </row>
    <row r="274" spans="1:28" ht="13.5" customHeight="1">
      <c r="A274" s="5" t="s">
        <v>435</v>
      </c>
      <c r="B274" s="6">
        <v>10117</v>
      </c>
      <c r="C274" s="6">
        <v>63025</v>
      </c>
      <c r="D274" s="6" t="s">
        <v>29</v>
      </c>
      <c r="E274" s="6" t="s">
        <v>30</v>
      </c>
      <c r="F274" s="6">
        <v>2747</v>
      </c>
      <c r="G274" s="7">
        <v>30142</v>
      </c>
      <c r="H274" s="6" t="s">
        <v>31</v>
      </c>
      <c r="I274" s="6" t="s">
        <v>44</v>
      </c>
      <c r="J274" s="6" t="s">
        <v>33</v>
      </c>
      <c r="K274" s="6" t="s">
        <v>81</v>
      </c>
      <c r="L274" s="6" t="s">
        <v>35</v>
      </c>
      <c r="M274" s="7">
        <v>42125</v>
      </c>
      <c r="N274" s="7">
        <v>32874</v>
      </c>
      <c r="O274" s="6" t="s">
        <v>36</v>
      </c>
      <c r="P274" s="6" t="s">
        <v>37</v>
      </c>
      <c r="Q274" s="6" t="s">
        <v>38</v>
      </c>
      <c r="R274" s="6" t="s">
        <v>39</v>
      </c>
      <c r="S274" s="6" t="s">
        <v>62</v>
      </c>
      <c r="T274" s="6" t="s">
        <v>50</v>
      </c>
      <c r="U274" s="6">
        <v>4.3600000000000003</v>
      </c>
      <c r="V274" s="6">
        <v>5</v>
      </c>
      <c r="W274" s="6">
        <v>0</v>
      </c>
      <c r="X274" s="7">
        <v>43489</v>
      </c>
      <c r="Y274" s="6">
        <v>0</v>
      </c>
      <c r="Z274" s="8">
        <v>10</v>
      </c>
      <c r="AA274" s="9">
        <f>DATEDIF(Table1[[#This Row],[DateofBirth]],"1-1-2020","y")</f>
        <v>37</v>
      </c>
      <c r="AB274" s="10" t="str" cm="1">
        <f t="array" ref="AB274">_xlfn.IFS(Table1[[#This Row],[age]]&lt; 20,"&lt;20",Table1[[#This Row],[age]]&lt; 30,"21-30",Table1[[#This Row],[age]]&lt; 40,"31-40", Table1[[#This Row],[age]]&lt; 50,"41-50",Table1[[#This Row],[age]]&lt; 60,"51-60",Table1[[#This Row],[age]]&lt;70,"60+")</f>
        <v>31-40</v>
      </c>
    </row>
    <row r="275" spans="1:28" ht="13.5" customHeight="1">
      <c r="A275" s="5" t="s">
        <v>436</v>
      </c>
      <c r="B275" s="6">
        <v>10209</v>
      </c>
      <c r="C275" s="6">
        <v>59238</v>
      </c>
      <c r="D275" s="6" t="s">
        <v>29</v>
      </c>
      <c r="E275" s="6" t="s">
        <v>30</v>
      </c>
      <c r="F275" s="6">
        <v>2718</v>
      </c>
      <c r="G275" s="7">
        <v>25065</v>
      </c>
      <c r="H275" s="6" t="s">
        <v>53</v>
      </c>
      <c r="I275" s="6" t="s">
        <v>32</v>
      </c>
      <c r="J275" s="6" t="s">
        <v>99</v>
      </c>
      <c r="K275" s="6" t="s">
        <v>34</v>
      </c>
      <c r="L275" s="6" t="s">
        <v>104</v>
      </c>
      <c r="M275" s="7">
        <v>41043</v>
      </c>
      <c r="N275" s="7">
        <v>32874</v>
      </c>
      <c r="O275" s="6" t="s">
        <v>36</v>
      </c>
      <c r="P275" s="6" t="s">
        <v>37</v>
      </c>
      <c r="Q275" s="6" t="s">
        <v>38</v>
      </c>
      <c r="R275" s="6" t="s">
        <v>57</v>
      </c>
      <c r="S275" s="6" t="s">
        <v>49</v>
      </c>
      <c r="T275" s="6" t="s">
        <v>50</v>
      </c>
      <c r="U275" s="6">
        <v>3.4</v>
      </c>
      <c r="V275" s="6">
        <v>5</v>
      </c>
      <c r="W275" s="6">
        <v>0</v>
      </c>
      <c r="X275" s="7">
        <v>43496</v>
      </c>
      <c r="Y275" s="6">
        <v>0</v>
      </c>
      <c r="Z275" s="8">
        <v>13</v>
      </c>
      <c r="AA275" s="9">
        <f>DATEDIF(Table1[[#This Row],[DateofBirth]],"1-1-2020","y")</f>
        <v>51</v>
      </c>
      <c r="AB275" s="10" t="str" cm="1">
        <f t="array" ref="AB275">_xlfn.IFS(Table1[[#This Row],[age]]&lt; 20,"&lt;20",Table1[[#This Row],[age]]&lt; 30,"21-30",Table1[[#This Row],[age]]&lt; 40,"31-40", Table1[[#This Row],[age]]&lt; 50,"41-50",Table1[[#This Row],[age]]&lt; 60,"51-60",Table1[[#This Row],[age]]&lt;70,"60+")</f>
        <v>51-60</v>
      </c>
    </row>
    <row r="276" spans="1:28" ht="13.5" customHeight="1">
      <c r="A276" s="5" t="s">
        <v>437</v>
      </c>
      <c r="B276" s="6">
        <v>10024</v>
      </c>
      <c r="C276" s="6">
        <v>92989</v>
      </c>
      <c r="D276" s="6" t="s">
        <v>66</v>
      </c>
      <c r="E276" s="6" t="s">
        <v>30</v>
      </c>
      <c r="F276" s="6">
        <v>2140</v>
      </c>
      <c r="G276" s="7">
        <v>30472</v>
      </c>
      <c r="H276" s="6" t="s">
        <v>31</v>
      </c>
      <c r="I276" s="6" t="s">
        <v>32</v>
      </c>
      <c r="J276" s="6" t="s">
        <v>33</v>
      </c>
      <c r="K276" s="6" t="s">
        <v>34</v>
      </c>
      <c r="L276" s="6" t="s">
        <v>35</v>
      </c>
      <c r="M276" s="7">
        <v>41827</v>
      </c>
      <c r="N276" s="7">
        <v>32874</v>
      </c>
      <c r="O276" s="6" t="s">
        <v>36</v>
      </c>
      <c r="P276" s="6" t="s">
        <v>37</v>
      </c>
      <c r="Q276" s="6" t="s">
        <v>67</v>
      </c>
      <c r="R276" s="6" t="s">
        <v>68</v>
      </c>
      <c r="S276" s="6" t="s">
        <v>40</v>
      </c>
      <c r="T276" s="6" t="s">
        <v>41</v>
      </c>
      <c r="U276" s="6">
        <v>4.5</v>
      </c>
      <c r="V276" s="6">
        <v>5</v>
      </c>
      <c r="W276" s="6">
        <v>5</v>
      </c>
      <c r="X276" s="7">
        <v>43514</v>
      </c>
      <c r="Y276" s="6">
        <v>0</v>
      </c>
      <c r="Z276" s="8">
        <v>1</v>
      </c>
      <c r="AA276" s="9">
        <f>DATEDIF(Table1[[#This Row],[DateofBirth]],"1-1-2020","y")</f>
        <v>36</v>
      </c>
      <c r="AB276" s="10" t="str" cm="1">
        <f t="array" ref="AB276">_xlfn.IFS(Table1[[#This Row],[age]]&lt; 20,"&lt;20",Table1[[#This Row],[age]]&lt; 30,"21-30",Table1[[#This Row],[age]]&lt; 40,"31-40", Table1[[#This Row],[age]]&lt; 50,"41-50",Table1[[#This Row],[age]]&lt; 60,"51-60",Table1[[#This Row],[age]]&lt;70,"60+")</f>
        <v>31-40</v>
      </c>
    </row>
    <row r="277" spans="1:28" ht="13.5" customHeight="1">
      <c r="A277" s="5" t="s">
        <v>438</v>
      </c>
      <c r="B277" s="6">
        <v>10173</v>
      </c>
      <c r="C277" s="6">
        <v>90100</v>
      </c>
      <c r="D277" s="6" t="s">
        <v>188</v>
      </c>
      <c r="E277" s="6" t="s">
        <v>30</v>
      </c>
      <c r="F277" s="6">
        <v>2134</v>
      </c>
      <c r="G277" s="7">
        <v>32074</v>
      </c>
      <c r="H277" s="6" t="s">
        <v>31</v>
      </c>
      <c r="I277" s="6" t="s">
        <v>44</v>
      </c>
      <c r="J277" s="6" t="s">
        <v>33</v>
      </c>
      <c r="K277" s="6" t="s">
        <v>34</v>
      </c>
      <c r="L277" s="6" t="s">
        <v>35</v>
      </c>
      <c r="M277" s="7">
        <v>42845</v>
      </c>
      <c r="N277" s="7">
        <v>32874</v>
      </c>
      <c r="O277" s="6" t="s">
        <v>36</v>
      </c>
      <c r="P277" s="6" t="s">
        <v>37</v>
      </c>
      <c r="Q277" s="6" t="s">
        <v>47</v>
      </c>
      <c r="R277" s="6" t="s">
        <v>189</v>
      </c>
      <c r="S277" s="6" t="s">
        <v>49</v>
      </c>
      <c r="T277" s="6" t="s">
        <v>50</v>
      </c>
      <c r="U277" s="6">
        <v>3.4</v>
      </c>
      <c r="V277" s="6">
        <v>3</v>
      </c>
      <c r="W277" s="6">
        <v>6</v>
      </c>
      <c r="X277" s="7">
        <v>43497</v>
      </c>
      <c r="Y277" s="6">
        <v>0</v>
      </c>
      <c r="Z277" s="8">
        <v>14</v>
      </c>
      <c r="AA277" s="9">
        <f>DATEDIF(Table1[[#This Row],[DateofBirth]],"1-1-2020","y")</f>
        <v>32</v>
      </c>
      <c r="AB277" s="10" t="str" cm="1">
        <f t="array" ref="AB277">_xlfn.IFS(Table1[[#This Row],[age]]&lt; 20,"&lt;20",Table1[[#This Row],[age]]&lt; 30,"21-30",Table1[[#This Row],[age]]&lt; 40,"31-40", Table1[[#This Row],[age]]&lt; 50,"41-50",Table1[[#This Row],[age]]&lt; 60,"51-60",Table1[[#This Row],[age]]&lt;70,"60+")</f>
        <v>31-40</v>
      </c>
    </row>
    <row r="278" spans="1:28" ht="13.5" customHeight="1">
      <c r="A278" s="5" t="s">
        <v>439</v>
      </c>
      <c r="B278" s="6">
        <v>10221</v>
      </c>
      <c r="C278" s="6">
        <v>60754</v>
      </c>
      <c r="D278" s="6" t="s">
        <v>29</v>
      </c>
      <c r="E278" s="6" t="s">
        <v>30</v>
      </c>
      <c r="F278" s="6">
        <v>1801</v>
      </c>
      <c r="G278" s="7">
        <v>27457</v>
      </c>
      <c r="H278" s="6" t="s">
        <v>53</v>
      </c>
      <c r="I278" s="6" t="s">
        <v>44</v>
      </c>
      <c r="J278" s="6" t="s">
        <v>156</v>
      </c>
      <c r="K278" s="6" t="s">
        <v>34</v>
      </c>
      <c r="L278" s="6" t="s">
        <v>74</v>
      </c>
      <c r="M278" s="7">
        <v>39930</v>
      </c>
      <c r="N278" s="7">
        <v>41278</v>
      </c>
      <c r="O278" s="6" t="s">
        <v>82</v>
      </c>
      <c r="P278" s="6" t="s">
        <v>46</v>
      </c>
      <c r="Q278" s="6" t="s">
        <v>38</v>
      </c>
      <c r="R278" s="6" t="s">
        <v>61</v>
      </c>
      <c r="S278" s="6" t="s">
        <v>76</v>
      </c>
      <c r="T278" s="6" t="s">
        <v>50</v>
      </c>
      <c r="U278" s="6">
        <v>4.5</v>
      </c>
      <c r="V278" s="6">
        <v>5</v>
      </c>
      <c r="W278" s="6">
        <v>0</v>
      </c>
      <c r="X278" s="7">
        <v>40954</v>
      </c>
      <c r="Y278" s="6">
        <v>0</v>
      </c>
      <c r="Z278" s="8">
        <v>11</v>
      </c>
      <c r="AA278" s="9">
        <f>DATEDIF(Table1[[#This Row],[DateofBirth]],"1-1-2020","y")</f>
        <v>44</v>
      </c>
      <c r="AB278" s="10" t="str" cm="1">
        <f t="array" ref="AB278">_xlfn.IFS(Table1[[#This Row],[age]]&lt; 20,"&lt;20",Table1[[#This Row],[age]]&lt; 30,"21-30",Table1[[#This Row],[age]]&lt; 40,"31-40", Table1[[#This Row],[age]]&lt; 50,"41-50",Table1[[#This Row],[age]]&lt; 60,"51-60",Table1[[#This Row],[age]]&lt;70,"60+")</f>
        <v>41-50</v>
      </c>
    </row>
    <row r="279" spans="1:28" ht="13.5" customHeight="1">
      <c r="A279" s="5" t="s">
        <v>440</v>
      </c>
      <c r="B279" s="6">
        <v>10146</v>
      </c>
      <c r="C279" s="6">
        <v>72202</v>
      </c>
      <c r="D279" s="6" t="s">
        <v>52</v>
      </c>
      <c r="E279" s="6" t="s">
        <v>30</v>
      </c>
      <c r="F279" s="6">
        <v>2129</v>
      </c>
      <c r="G279" s="7">
        <v>19503</v>
      </c>
      <c r="H279" s="6" t="s">
        <v>53</v>
      </c>
      <c r="I279" s="6" t="s">
        <v>44</v>
      </c>
      <c r="J279" s="6" t="s">
        <v>33</v>
      </c>
      <c r="K279" s="6" t="s">
        <v>34</v>
      </c>
      <c r="L279" s="6" t="s">
        <v>35</v>
      </c>
      <c r="M279" s="7">
        <v>40679</v>
      </c>
      <c r="N279" s="7">
        <v>42954</v>
      </c>
      <c r="O279" s="6" t="s">
        <v>82</v>
      </c>
      <c r="P279" s="6" t="s">
        <v>46</v>
      </c>
      <c r="Q279" s="6" t="s">
        <v>38</v>
      </c>
      <c r="R279" s="6" t="s">
        <v>57</v>
      </c>
      <c r="S279" s="6" t="s">
        <v>62</v>
      </c>
      <c r="T279" s="6" t="s">
        <v>50</v>
      </c>
      <c r="U279" s="6">
        <v>3.93</v>
      </c>
      <c r="V279" s="6">
        <v>3</v>
      </c>
      <c r="W279" s="6">
        <v>0</v>
      </c>
      <c r="X279" s="7">
        <v>42843</v>
      </c>
      <c r="Y279" s="6">
        <v>0</v>
      </c>
      <c r="Z279" s="8">
        <v>3</v>
      </c>
      <c r="AA279" s="9">
        <f>DATEDIF(Table1[[#This Row],[DateofBirth]],"1-1-2020","y")</f>
        <v>66</v>
      </c>
      <c r="AB279" s="10" t="str" cm="1">
        <f t="array" ref="AB279">_xlfn.IFS(Table1[[#This Row],[age]]&lt; 20,"&lt;20",Table1[[#This Row],[age]]&lt; 30,"21-30",Table1[[#This Row],[age]]&lt; 40,"31-40", Table1[[#This Row],[age]]&lt; 50,"41-50",Table1[[#This Row],[age]]&lt; 60,"51-60",Table1[[#This Row],[age]]&lt;70,"60+")</f>
        <v>60+</v>
      </c>
    </row>
    <row r="280" spans="1:28" ht="13.5" customHeight="1">
      <c r="A280" s="5" t="s">
        <v>441</v>
      </c>
      <c r="B280" s="6">
        <v>10161</v>
      </c>
      <c r="C280" s="6">
        <v>58370</v>
      </c>
      <c r="D280" s="6" t="s">
        <v>131</v>
      </c>
      <c r="E280" s="6" t="s">
        <v>442</v>
      </c>
      <c r="F280" s="6">
        <v>97756</v>
      </c>
      <c r="G280" s="7">
        <v>23928</v>
      </c>
      <c r="H280" s="6" t="s">
        <v>53</v>
      </c>
      <c r="I280" s="6" t="s">
        <v>32</v>
      </c>
      <c r="J280" s="6" t="s">
        <v>33</v>
      </c>
      <c r="K280" s="6" t="s">
        <v>34</v>
      </c>
      <c r="L280" s="6" t="s">
        <v>74</v>
      </c>
      <c r="M280" s="7">
        <v>41911</v>
      </c>
      <c r="N280" s="7">
        <v>32874</v>
      </c>
      <c r="O280" s="6" t="s">
        <v>36</v>
      </c>
      <c r="P280" s="6" t="s">
        <v>37</v>
      </c>
      <c r="Q280" s="6" t="s">
        <v>133</v>
      </c>
      <c r="R280" s="6" t="s">
        <v>152</v>
      </c>
      <c r="S280" s="6" t="s">
        <v>49</v>
      </c>
      <c r="T280" s="6" t="s">
        <v>50</v>
      </c>
      <c r="U280" s="6">
        <v>3.69</v>
      </c>
      <c r="V280" s="6">
        <v>3</v>
      </c>
      <c r="W280" s="6">
        <v>0</v>
      </c>
      <c r="X280" s="7">
        <v>43493</v>
      </c>
      <c r="Y280" s="6">
        <v>0</v>
      </c>
      <c r="Z280" s="8">
        <v>18</v>
      </c>
      <c r="AA280" s="9">
        <f>DATEDIF(Table1[[#This Row],[DateofBirth]],"1-1-2020","y")</f>
        <v>54</v>
      </c>
      <c r="AB280" s="10" t="str" cm="1">
        <f t="array" ref="AB280">_xlfn.IFS(Table1[[#This Row],[age]]&lt; 20,"&lt;20",Table1[[#This Row],[age]]&lt; 30,"21-30",Table1[[#This Row],[age]]&lt; 40,"31-40", Table1[[#This Row],[age]]&lt; 50,"41-50",Table1[[#This Row],[age]]&lt; 60,"51-60",Table1[[#This Row],[age]]&lt;70,"60+")</f>
        <v>51-60</v>
      </c>
    </row>
    <row r="281" spans="1:28" ht="13.5" customHeight="1">
      <c r="A281" s="5" t="s">
        <v>443</v>
      </c>
      <c r="B281" s="6">
        <v>10141</v>
      </c>
      <c r="C281" s="6">
        <v>48413</v>
      </c>
      <c r="D281" s="6" t="s">
        <v>29</v>
      </c>
      <c r="E281" s="6" t="s">
        <v>30</v>
      </c>
      <c r="F281" s="6">
        <v>2066</v>
      </c>
      <c r="G281" s="7">
        <v>23990</v>
      </c>
      <c r="H281" s="6" t="s">
        <v>53</v>
      </c>
      <c r="I281" s="6" t="s">
        <v>32</v>
      </c>
      <c r="J281" s="6" t="s">
        <v>33</v>
      </c>
      <c r="K281" s="6" t="s">
        <v>34</v>
      </c>
      <c r="L281" s="6" t="s">
        <v>35</v>
      </c>
      <c r="M281" s="7">
        <v>40670</v>
      </c>
      <c r="N281" s="7">
        <v>42499</v>
      </c>
      <c r="O281" s="6" t="s">
        <v>60</v>
      </c>
      <c r="P281" s="6" t="s">
        <v>46</v>
      </c>
      <c r="Q281" s="6" t="s">
        <v>38</v>
      </c>
      <c r="R281" s="6" t="s">
        <v>64</v>
      </c>
      <c r="S281" s="6" t="s">
        <v>49</v>
      </c>
      <c r="T281" s="6" t="s">
        <v>50</v>
      </c>
      <c r="U281" s="6">
        <v>3.98</v>
      </c>
      <c r="V281" s="6">
        <v>4</v>
      </c>
      <c r="W281" s="6">
        <v>0</v>
      </c>
      <c r="X281" s="7">
        <v>42403</v>
      </c>
      <c r="Y281" s="6">
        <v>0</v>
      </c>
      <c r="Z281" s="8">
        <v>1</v>
      </c>
      <c r="AA281" s="9">
        <f>DATEDIF(Table1[[#This Row],[DateofBirth]],"1-1-2020","y")</f>
        <v>54</v>
      </c>
      <c r="AB281" s="10" t="str" cm="1">
        <f t="array" ref="AB281">_xlfn.IFS(Table1[[#This Row],[age]]&lt; 20,"&lt;20",Table1[[#This Row],[age]]&lt; 30,"21-30",Table1[[#This Row],[age]]&lt; 40,"31-40", Table1[[#This Row],[age]]&lt; 50,"41-50",Table1[[#This Row],[age]]&lt; 60,"51-60",Table1[[#This Row],[age]]&lt;70,"60+")</f>
        <v>51-60</v>
      </c>
    </row>
    <row r="282" spans="1:28" ht="13.5" customHeight="1">
      <c r="A282" s="5" t="s">
        <v>444</v>
      </c>
      <c r="B282" s="6">
        <v>10268</v>
      </c>
      <c r="C282" s="6">
        <v>67176</v>
      </c>
      <c r="D282" s="6" t="s">
        <v>52</v>
      </c>
      <c r="E282" s="6" t="s">
        <v>30</v>
      </c>
      <c r="F282" s="6">
        <v>2472</v>
      </c>
      <c r="G282" s="7">
        <v>27653</v>
      </c>
      <c r="H282" s="6" t="s">
        <v>31</v>
      </c>
      <c r="I282" s="6" t="s">
        <v>70</v>
      </c>
      <c r="J282" s="6" t="s">
        <v>33</v>
      </c>
      <c r="K282" s="6" t="s">
        <v>34</v>
      </c>
      <c r="L282" s="6" t="s">
        <v>35</v>
      </c>
      <c r="M282" s="7">
        <v>39258</v>
      </c>
      <c r="N282" s="7">
        <v>40420</v>
      </c>
      <c r="O282" s="6" t="s">
        <v>204</v>
      </c>
      <c r="P282" s="6" t="s">
        <v>46</v>
      </c>
      <c r="Q282" s="6" t="s">
        <v>38</v>
      </c>
      <c r="R282" s="6" t="s">
        <v>61</v>
      </c>
      <c r="S282" s="6" t="s">
        <v>228</v>
      </c>
      <c r="T282" s="6" t="s">
        <v>50</v>
      </c>
      <c r="U282" s="6">
        <v>4.0999999999999996</v>
      </c>
      <c r="V282" s="6">
        <v>4</v>
      </c>
      <c r="W282" s="6">
        <v>0</v>
      </c>
      <c r="X282" s="7">
        <v>40373</v>
      </c>
      <c r="Y282" s="6">
        <v>0</v>
      </c>
      <c r="Z282" s="8">
        <v>15</v>
      </c>
      <c r="AA282" s="9">
        <f>DATEDIF(Table1[[#This Row],[DateofBirth]],"1-1-2020","y")</f>
        <v>44</v>
      </c>
      <c r="AB282" s="10" t="str" cm="1">
        <f t="array" ref="AB282">_xlfn.IFS(Table1[[#This Row],[age]]&lt; 20,"&lt;20",Table1[[#This Row],[age]]&lt; 30,"21-30",Table1[[#This Row],[age]]&lt; 40,"31-40", Table1[[#This Row],[age]]&lt; 50,"41-50",Table1[[#This Row],[age]]&lt; 60,"51-60",Table1[[#This Row],[age]]&lt;70,"60+")</f>
        <v>41-50</v>
      </c>
    </row>
    <row r="283" spans="1:28" ht="13.5" customHeight="1">
      <c r="A283" s="5" t="s">
        <v>445</v>
      </c>
      <c r="B283" s="6">
        <v>10123</v>
      </c>
      <c r="C283" s="6">
        <v>56339</v>
      </c>
      <c r="D283" s="6" t="s">
        <v>29</v>
      </c>
      <c r="E283" s="6" t="s">
        <v>30</v>
      </c>
      <c r="F283" s="6">
        <v>2093</v>
      </c>
      <c r="G283" s="7">
        <v>24598</v>
      </c>
      <c r="H283" s="6" t="s">
        <v>53</v>
      </c>
      <c r="I283" s="6" t="s">
        <v>59</v>
      </c>
      <c r="J283" s="6" t="s">
        <v>33</v>
      </c>
      <c r="K283" s="6" t="s">
        <v>34</v>
      </c>
      <c r="L283" s="6" t="s">
        <v>74</v>
      </c>
      <c r="M283" s="7">
        <v>41323</v>
      </c>
      <c r="N283" s="7">
        <v>32874</v>
      </c>
      <c r="O283" s="6" t="s">
        <v>36</v>
      </c>
      <c r="P283" s="6" t="s">
        <v>37</v>
      </c>
      <c r="Q283" s="6" t="s">
        <v>38</v>
      </c>
      <c r="R283" s="6" t="s">
        <v>75</v>
      </c>
      <c r="S283" s="6" t="s">
        <v>49</v>
      </c>
      <c r="T283" s="6" t="s">
        <v>50</v>
      </c>
      <c r="U283" s="6">
        <v>4.21</v>
      </c>
      <c r="V283" s="6">
        <v>5</v>
      </c>
      <c r="W283" s="6">
        <v>0</v>
      </c>
      <c r="X283" s="7">
        <v>43479</v>
      </c>
      <c r="Y283" s="6">
        <v>0</v>
      </c>
      <c r="Z283" s="8">
        <v>4</v>
      </c>
      <c r="AA283" s="9">
        <f>DATEDIF(Table1[[#This Row],[DateofBirth]],"1-1-2020","y")</f>
        <v>52</v>
      </c>
      <c r="AB283" s="10" t="str" cm="1">
        <f t="array" ref="AB283">_xlfn.IFS(Table1[[#This Row],[age]]&lt; 20,"&lt;20",Table1[[#This Row],[age]]&lt; 30,"21-30",Table1[[#This Row],[age]]&lt; 40,"31-40", Table1[[#This Row],[age]]&lt; 50,"41-50",Table1[[#This Row],[age]]&lt; 60,"51-60",Table1[[#This Row],[age]]&lt;70,"60+")</f>
        <v>51-60</v>
      </c>
    </row>
    <row r="284" spans="1:28" ht="13.5" customHeight="1">
      <c r="A284" s="5" t="s">
        <v>446</v>
      </c>
      <c r="B284" s="6">
        <v>10013</v>
      </c>
      <c r="C284" s="6">
        <v>64397</v>
      </c>
      <c r="D284" s="6" t="s">
        <v>131</v>
      </c>
      <c r="E284" s="6" t="s">
        <v>447</v>
      </c>
      <c r="F284" s="6">
        <v>58782</v>
      </c>
      <c r="G284" s="7">
        <v>24852</v>
      </c>
      <c r="H284" s="6" t="s">
        <v>31</v>
      </c>
      <c r="I284" s="6" t="s">
        <v>129</v>
      </c>
      <c r="J284" s="6" t="s">
        <v>33</v>
      </c>
      <c r="K284" s="6" t="s">
        <v>34</v>
      </c>
      <c r="L284" s="6" t="s">
        <v>35</v>
      </c>
      <c r="M284" s="7">
        <v>38961</v>
      </c>
      <c r="N284" s="7">
        <v>32874</v>
      </c>
      <c r="O284" s="6" t="s">
        <v>36</v>
      </c>
      <c r="P284" s="6" t="s">
        <v>37</v>
      </c>
      <c r="Q284" s="6" t="s">
        <v>133</v>
      </c>
      <c r="R284" s="6" t="s">
        <v>152</v>
      </c>
      <c r="S284" s="6" t="s">
        <v>49</v>
      </c>
      <c r="T284" s="6" t="s">
        <v>41</v>
      </c>
      <c r="U284" s="6">
        <v>4.0999999999999996</v>
      </c>
      <c r="V284" s="6">
        <v>3</v>
      </c>
      <c r="W284" s="6">
        <v>0</v>
      </c>
      <c r="X284" s="7">
        <v>43556</v>
      </c>
      <c r="Y284" s="6">
        <v>0</v>
      </c>
      <c r="Z284" s="8">
        <v>6</v>
      </c>
      <c r="AA284" s="9">
        <f>DATEDIF(Table1[[#This Row],[DateofBirth]],"1-1-2020","y")</f>
        <v>51</v>
      </c>
      <c r="AB284" s="10" t="str" cm="1">
        <f t="array" ref="AB284">_xlfn.IFS(Table1[[#This Row],[age]]&lt; 20,"&lt;20",Table1[[#This Row],[age]]&lt; 30,"21-30",Table1[[#This Row],[age]]&lt; 40,"31-40", Table1[[#This Row],[age]]&lt; 50,"41-50",Table1[[#This Row],[age]]&lt; 60,"51-60",Table1[[#This Row],[age]]&lt;70,"60+")</f>
        <v>51-60</v>
      </c>
    </row>
    <row r="285" spans="1:28" ht="13.5" customHeight="1">
      <c r="A285" s="5" t="s">
        <v>448</v>
      </c>
      <c r="B285" s="6">
        <v>10287</v>
      </c>
      <c r="C285" s="6">
        <v>63025</v>
      </c>
      <c r="D285" s="6" t="s">
        <v>29</v>
      </c>
      <c r="E285" s="6" t="s">
        <v>30</v>
      </c>
      <c r="F285" s="6">
        <v>2021</v>
      </c>
      <c r="G285" s="7">
        <v>30452</v>
      </c>
      <c r="H285" s="6" t="s">
        <v>53</v>
      </c>
      <c r="I285" s="6" t="s">
        <v>32</v>
      </c>
      <c r="J285" s="6" t="s">
        <v>33</v>
      </c>
      <c r="K285" s="6" t="s">
        <v>34</v>
      </c>
      <c r="L285" s="6" t="s">
        <v>35</v>
      </c>
      <c r="M285" s="7">
        <v>41687</v>
      </c>
      <c r="N285" s="7">
        <v>32874</v>
      </c>
      <c r="O285" s="6" t="s">
        <v>36</v>
      </c>
      <c r="P285" s="6" t="s">
        <v>37</v>
      </c>
      <c r="Q285" s="6" t="s">
        <v>38</v>
      </c>
      <c r="R285" s="6" t="s">
        <v>83</v>
      </c>
      <c r="S285" s="6" t="s">
        <v>40</v>
      </c>
      <c r="T285" s="6" t="s">
        <v>110</v>
      </c>
      <c r="U285" s="6">
        <v>2.44</v>
      </c>
      <c r="V285" s="6">
        <v>5</v>
      </c>
      <c r="W285" s="6">
        <v>0</v>
      </c>
      <c r="X285" s="7">
        <v>43771</v>
      </c>
      <c r="Y285" s="6">
        <v>4</v>
      </c>
      <c r="Z285" s="8">
        <v>18</v>
      </c>
      <c r="AA285" s="9">
        <f>DATEDIF(Table1[[#This Row],[DateofBirth]],"1-1-2020","y")</f>
        <v>36</v>
      </c>
      <c r="AB285" s="10" t="str" cm="1">
        <f t="array" ref="AB285">_xlfn.IFS(Table1[[#This Row],[age]]&lt; 20,"&lt;20",Table1[[#This Row],[age]]&lt; 30,"21-30",Table1[[#This Row],[age]]&lt; 40,"31-40", Table1[[#This Row],[age]]&lt; 50,"41-50",Table1[[#This Row],[age]]&lt; 60,"51-60",Table1[[#This Row],[age]]&lt;70,"60+")</f>
        <v>31-40</v>
      </c>
    </row>
    <row r="286" spans="1:28" ht="13.5" customHeight="1">
      <c r="A286" s="5" t="s">
        <v>449</v>
      </c>
      <c r="B286" s="6">
        <v>10044</v>
      </c>
      <c r="C286" s="6">
        <v>75281</v>
      </c>
      <c r="D286" s="6" t="s">
        <v>217</v>
      </c>
      <c r="E286" s="6" t="s">
        <v>30</v>
      </c>
      <c r="F286" s="6">
        <v>1420</v>
      </c>
      <c r="G286" s="7">
        <v>32268</v>
      </c>
      <c r="H286" s="6" t="s">
        <v>31</v>
      </c>
      <c r="I286" s="6" t="s">
        <v>44</v>
      </c>
      <c r="J286" s="6" t="s">
        <v>33</v>
      </c>
      <c r="K286" s="6" t="s">
        <v>34</v>
      </c>
      <c r="L286" s="6" t="s">
        <v>35</v>
      </c>
      <c r="M286" s="7">
        <v>42125</v>
      </c>
      <c r="N286" s="7">
        <v>42706</v>
      </c>
      <c r="O286" s="6" t="s">
        <v>371</v>
      </c>
      <c r="P286" s="6" t="s">
        <v>46</v>
      </c>
      <c r="Q286" s="6" t="s">
        <v>47</v>
      </c>
      <c r="R286" s="6" t="s">
        <v>79</v>
      </c>
      <c r="S286" s="6" t="s">
        <v>109</v>
      </c>
      <c r="T286" s="6" t="s">
        <v>50</v>
      </c>
      <c r="U286" s="6">
        <v>5</v>
      </c>
      <c r="V286" s="6">
        <v>3</v>
      </c>
      <c r="W286" s="6">
        <v>5</v>
      </c>
      <c r="X286" s="7">
        <v>42109</v>
      </c>
      <c r="Y286" s="6">
        <v>0</v>
      </c>
      <c r="Z286" s="8">
        <v>11</v>
      </c>
      <c r="AA286" s="9">
        <f>DATEDIF(Table1[[#This Row],[DateofBirth]],"1-1-2020","y")</f>
        <v>31</v>
      </c>
      <c r="AB286" s="10" t="str" cm="1">
        <f t="array" ref="AB286">_xlfn.IFS(Table1[[#This Row],[age]]&lt; 20,"&lt;20",Table1[[#This Row],[age]]&lt; 30,"21-30",Table1[[#This Row],[age]]&lt; 40,"31-40", Table1[[#This Row],[age]]&lt; 50,"41-50",Table1[[#This Row],[age]]&lt; 60,"51-60",Table1[[#This Row],[age]]&lt;70,"60+")</f>
        <v>31-40</v>
      </c>
    </row>
    <row r="287" spans="1:28" ht="13.5" customHeight="1">
      <c r="A287" s="5" t="s">
        <v>450</v>
      </c>
      <c r="B287" s="6">
        <v>10102</v>
      </c>
      <c r="C287" s="6">
        <v>100416</v>
      </c>
      <c r="D287" s="6" t="s">
        <v>66</v>
      </c>
      <c r="E287" s="6" t="s">
        <v>30</v>
      </c>
      <c r="F287" s="6">
        <v>2451</v>
      </c>
      <c r="G287" s="7">
        <v>30481</v>
      </c>
      <c r="H287" s="6" t="s">
        <v>31</v>
      </c>
      <c r="I287" s="6" t="s">
        <v>32</v>
      </c>
      <c r="J287" s="6" t="s">
        <v>156</v>
      </c>
      <c r="K287" s="6" t="s">
        <v>34</v>
      </c>
      <c r="L287" s="6" t="s">
        <v>74</v>
      </c>
      <c r="M287" s="7">
        <v>41323</v>
      </c>
      <c r="N287" s="7">
        <v>43205</v>
      </c>
      <c r="O287" s="6" t="s">
        <v>371</v>
      </c>
      <c r="P287" s="6" t="s">
        <v>46</v>
      </c>
      <c r="Q287" s="6" t="s">
        <v>67</v>
      </c>
      <c r="R287" s="6" t="s">
        <v>68</v>
      </c>
      <c r="S287" s="6" t="s">
        <v>76</v>
      </c>
      <c r="T287" s="6" t="s">
        <v>50</v>
      </c>
      <c r="U287" s="6">
        <v>4.5999999999999996</v>
      </c>
      <c r="V287" s="6">
        <v>3</v>
      </c>
      <c r="W287" s="6">
        <v>4</v>
      </c>
      <c r="X287" s="7">
        <v>43071</v>
      </c>
      <c r="Y287" s="6">
        <v>0</v>
      </c>
      <c r="Z287" s="8">
        <v>9</v>
      </c>
      <c r="AA287" s="9">
        <f>DATEDIF(Table1[[#This Row],[DateofBirth]],"1-1-2020","y")</f>
        <v>36</v>
      </c>
      <c r="AB287" s="10" t="str" cm="1">
        <f t="array" ref="AB287">_xlfn.IFS(Table1[[#This Row],[age]]&lt; 20,"&lt;20",Table1[[#This Row],[age]]&lt; 30,"21-30",Table1[[#This Row],[age]]&lt; 40,"31-40", Table1[[#This Row],[age]]&lt; 50,"41-50",Table1[[#This Row],[age]]&lt; 60,"51-60",Table1[[#This Row],[age]]&lt;70,"60+")</f>
        <v>31-40</v>
      </c>
    </row>
    <row r="288" spans="1:28" ht="13.5" customHeight="1">
      <c r="A288" s="5" t="s">
        <v>451</v>
      </c>
      <c r="B288" s="6">
        <v>10270</v>
      </c>
      <c r="C288" s="6">
        <v>74813</v>
      </c>
      <c r="D288" s="6" t="s">
        <v>52</v>
      </c>
      <c r="E288" s="6" t="s">
        <v>30</v>
      </c>
      <c r="F288" s="6">
        <v>1778</v>
      </c>
      <c r="G288" s="7">
        <v>31121</v>
      </c>
      <c r="H288" s="6" t="s">
        <v>53</v>
      </c>
      <c r="I288" s="6" t="s">
        <v>32</v>
      </c>
      <c r="J288" s="6" t="s">
        <v>33</v>
      </c>
      <c r="K288" s="6" t="s">
        <v>34</v>
      </c>
      <c r="L288" s="6" t="s">
        <v>35</v>
      </c>
      <c r="M288" s="7">
        <v>40817</v>
      </c>
      <c r="N288" s="7">
        <v>41677</v>
      </c>
      <c r="O288" s="6" t="s">
        <v>85</v>
      </c>
      <c r="P288" s="6" t="s">
        <v>46</v>
      </c>
      <c r="Q288" s="6" t="s">
        <v>38</v>
      </c>
      <c r="R288" s="6" t="s">
        <v>64</v>
      </c>
      <c r="S288" s="6" t="s">
        <v>40</v>
      </c>
      <c r="T288" s="6" t="s">
        <v>50</v>
      </c>
      <c r="U288" s="6">
        <v>4.4000000000000004</v>
      </c>
      <c r="V288" s="6">
        <v>3</v>
      </c>
      <c r="W288" s="6">
        <v>0</v>
      </c>
      <c r="X288" s="7">
        <v>41760</v>
      </c>
      <c r="Y288" s="6">
        <v>0</v>
      </c>
      <c r="Z288" s="8">
        <v>5</v>
      </c>
      <c r="AA288" s="9">
        <f>DATEDIF(Table1[[#This Row],[DateofBirth]],"1-1-2020","y")</f>
        <v>34</v>
      </c>
      <c r="AB288" s="10" t="str" cm="1">
        <f t="array" ref="AB288">_xlfn.IFS(Table1[[#This Row],[age]]&lt; 20,"&lt;20",Table1[[#This Row],[age]]&lt; 30,"21-30",Table1[[#This Row],[age]]&lt; 40,"31-40", Table1[[#This Row],[age]]&lt; 50,"41-50",Table1[[#This Row],[age]]&lt; 60,"51-60",Table1[[#This Row],[age]]&lt;70,"60+")</f>
        <v>31-40</v>
      </c>
    </row>
    <row r="289" spans="1:28" ht="13.5" customHeight="1">
      <c r="A289" s="5" t="s">
        <v>452</v>
      </c>
      <c r="B289" s="6">
        <v>10045</v>
      </c>
      <c r="C289" s="6">
        <v>76029</v>
      </c>
      <c r="D289" s="6" t="s">
        <v>217</v>
      </c>
      <c r="E289" s="6" t="s">
        <v>30</v>
      </c>
      <c r="F289" s="6">
        <v>2343</v>
      </c>
      <c r="G289" s="7">
        <v>25293</v>
      </c>
      <c r="H289" s="6" t="s">
        <v>31</v>
      </c>
      <c r="I289" s="6" t="s">
        <v>44</v>
      </c>
      <c r="J289" s="6" t="s">
        <v>99</v>
      </c>
      <c r="K289" s="6" t="s">
        <v>34</v>
      </c>
      <c r="L289" s="6" t="s">
        <v>35</v>
      </c>
      <c r="M289" s="7">
        <v>42093</v>
      </c>
      <c r="N289" s="7">
        <v>32874</v>
      </c>
      <c r="O289" s="6" t="s">
        <v>36</v>
      </c>
      <c r="P289" s="6" t="s">
        <v>37</v>
      </c>
      <c r="Q289" s="6" t="s">
        <v>47</v>
      </c>
      <c r="R289" s="6" t="s">
        <v>79</v>
      </c>
      <c r="S289" s="6" t="s">
        <v>72</v>
      </c>
      <c r="T289" s="6" t="s">
        <v>50</v>
      </c>
      <c r="U289" s="6">
        <v>5</v>
      </c>
      <c r="V289" s="6">
        <v>4</v>
      </c>
      <c r="W289" s="6">
        <v>7</v>
      </c>
      <c r="X289" s="7">
        <v>43479</v>
      </c>
      <c r="Y289" s="6">
        <v>0</v>
      </c>
      <c r="Z289" s="8">
        <v>8</v>
      </c>
      <c r="AA289" s="9">
        <f>DATEDIF(Table1[[#This Row],[DateofBirth]],"1-1-2020","y")</f>
        <v>50</v>
      </c>
      <c r="AB289" s="10" t="str" cm="1">
        <f t="array" ref="AB289">_xlfn.IFS(Table1[[#This Row],[age]]&lt; 20,"&lt;20",Table1[[#This Row],[age]]&lt; 30,"21-30",Table1[[#This Row],[age]]&lt; 40,"31-40", Table1[[#This Row],[age]]&lt; 50,"41-50",Table1[[#This Row],[age]]&lt; 60,"51-60",Table1[[#This Row],[age]]&lt;70,"60+")</f>
        <v>51-60</v>
      </c>
    </row>
    <row r="290" spans="1:28" ht="13.5" customHeight="1">
      <c r="A290" s="5" t="s">
        <v>453</v>
      </c>
      <c r="B290" s="6">
        <v>10205</v>
      </c>
      <c r="C290" s="6">
        <v>57859</v>
      </c>
      <c r="D290" s="6" t="s">
        <v>131</v>
      </c>
      <c r="E290" s="6" t="s">
        <v>454</v>
      </c>
      <c r="F290" s="6">
        <v>85006</v>
      </c>
      <c r="G290" s="7">
        <v>33381</v>
      </c>
      <c r="H290" s="6" t="s">
        <v>53</v>
      </c>
      <c r="I290" s="6" t="s">
        <v>44</v>
      </c>
      <c r="J290" s="6" t="s">
        <v>33</v>
      </c>
      <c r="K290" s="6" t="s">
        <v>34</v>
      </c>
      <c r="L290" s="6" t="s">
        <v>90</v>
      </c>
      <c r="M290" s="7">
        <v>40670</v>
      </c>
      <c r="N290" s="7">
        <v>32874</v>
      </c>
      <c r="O290" s="6" t="s">
        <v>36</v>
      </c>
      <c r="P290" s="6" t="s">
        <v>37</v>
      </c>
      <c r="Q290" s="6" t="s">
        <v>133</v>
      </c>
      <c r="R290" s="6" t="s">
        <v>134</v>
      </c>
      <c r="S290" s="6" t="s">
        <v>49</v>
      </c>
      <c r="T290" s="6" t="s">
        <v>50</v>
      </c>
      <c r="U290" s="6">
        <v>2.81</v>
      </c>
      <c r="V290" s="6">
        <v>3</v>
      </c>
      <c r="W290" s="6">
        <v>0</v>
      </c>
      <c r="X290" s="7">
        <v>43482</v>
      </c>
      <c r="Y290" s="6">
        <v>0</v>
      </c>
      <c r="Z290" s="8">
        <v>16</v>
      </c>
      <c r="AA290" s="9">
        <f>DATEDIF(Table1[[#This Row],[DateofBirth]],"1-1-2020","y")</f>
        <v>28</v>
      </c>
      <c r="AB290" s="10" t="str" cm="1">
        <f t="array" ref="AB290">_xlfn.IFS(Table1[[#This Row],[age]]&lt; 20,"&lt;20",Table1[[#This Row],[age]]&lt; 30,"21-30",Table1[[#This Row],[age]]&lt; 40,"31-40", Table1[[#This Row],[age]]&lt; 50,"41-50",Table1[[#This Row],[age]]&lt; 60,"51-60",Table1[[#This Row],[age]]&lt;70,"60+")</f>
        <v>21-30</v>
      </c>
    </row>
    <row r="291" spans="1:28" ht="13.5" customHeight="1">
      <c r="A291" s="5" t="s">
        <v>455</v>
      </c>
      <c r="B291" s="6">
        <v>10014</v>
      </c>
      <c r="C291" s="6">
        <v>58523</v>
      </c>
      <c r="D291" s="6" t="s">
        <v>29</v>
      </c>
      <c r="E291" s="6" t="s">
        <v>30</v>
      </c>
      <c r="F291" s="6">
        <v>2171</v>
      </c>
      <c r="G291" s="7">
        <v>31808</v>
      </c>
      <c r="H291" s="6" t="s">
        <v>31</v>
      </c>
      <c r="I291" s="6" t="s">
        <v>59</v>
      </c>
      <c r="J291" s="6" t="s">
        <v>33</v>
      </c>
      <c r="K291" s="6" t="s">
        <v>34</v>
      </c>
      <c r="L291" s="6" t="s">
        <v>35</v>
      </c>
      <c r="M291" s="7">
        <v>41134</v>
      </c>
      <c r="N291" s="7">
        <v>42492</v>
      </c>
      <c r="O291" s="6" t="s">
        <v>288</v>
      </c>
      <c r="P291" s="6" t="s">
        <v>46</v>
      </c>
      <c r="Q291" s="6" t="s">
        <v>38</v>
      </c>
      <c r="R291" s="6" t="s">
        <v>55</v>
      </c>
      <c r="S291" s="6" t="s">
        <v>40</v>
      </c>
      <c r="T291" s="6" t="s">
        <v>41</v>
      </c>
      <c r="U291" s="6">
        <v>4.5</v>
      </c>
      <c r="V291" s="6">
        <v>5</v>
      </c>
      <c r="W291" s="6">
        <v>0</v>
      </c>
      <c r="X291" s="7">
        <v>42371</v>
      </c>
      <c r="Y291" s="6">
        <v>0</v>
      </c>
      <c r="Z291" s="8">
        <v>15</v>
      </c>
      <c r="AA291" s="9">
        <f>DATEDIF(Table1[[#This Row],[DateofBirth]],"1-1-2020","y")</f>
        <v>32</v>
      </c>
      <c r="AB291" s="10" t="str" cm="1">
        <f t="array" ref="AB291">_xlfn.IFS(Table1[[#This Row],[age]]&lt; 20,"&lt;20",Table1[[#This Row],[age]]&lt; 30,"21-30",Table1[[#This Row],[age]]&lt; 40,"31-40", Table1[[#This Row],[age]]&lt; 50,"41-50",Table1[[#This Row],[age]]&lt; 60,"51-60",Table1[[#This Row],[age]]&lt;70,"60+")</f>
        <v>31-40</v>
      </c>
    </row>
    <row r="292" spans="1:28" ht="13.5" customHeight="1">
      <c r="A292" s="5" t="s">
        <v>456</v>
      </c>
      <c r="B292" s="6">
        <v>10144</v>
      </c>
      <c r="C292" s="6">
        <v>88976</v>
      </c>
      <c r="D292" s="6" t="s">
        <v>121</v>
      </c>
      <c r="E292" s="6" t="s">
        <v>30</v>
      </c>
      <c r="F292" s="6">
        <v>2169</v>
      </c>
      <c r="G292" s="7">
        <v>25121</v>
      </c>
      <c r="H292" s="6" t="s">
        <v>31</v>
      </c>
      <c r="I292" s="6" t="s">
        <v>59</v>
      </c>
      <c r="J292" s="6" t="s">
        <v>33</v>
      </c>
      <c r="K292" s="6" t="s">
        <v>34</v>
      </c>
      <c r="L292" s="6" t="s">
        <v>35</v>
      </c>
      <c r="M292" s="7">
        <v>40551</v>
      </c>
      <c r="N292" s="7">
        <v>32874</v>
      </c>
      <c r="O292" s="6" t="s">
        <v>36</v>
      </c>
      <c r="P292" s="6" t="s">
        <v>37</v>
      </c>
      <c r="Q292" s="6" t="s">
        <v>38</v>
      </c>
      <c r="R292" s="6" t="s">
        <v>123</v>
      </c>
      <c r="S292" s="6" t="s">
        <v>72</v>
      </c>
      <c r="T292" s="6" t="s">
        <v>50</v>
      </c>
      <c r="U292" s="6">
        <v>3.93</v>
      </c>
      <c r="V292" s="6">
        <v>3</v>
      </c>
      <c r="W292" s="6">
        <v>0</v>
      </c>
      <c r="X292" s="7">
        <v>43523</v>
      </c>
      <c r="Y292" s="6">
        <v>0</v>
      </c>
      <c r="Z292" s="8">
        <v>19</v>
      </c>
      <c r="AA292" s="9">
        <f>DATEDIF(Table1[[#This Row],[DateofBirth]],"1-1-2020","y")</f>
        <v>51</v>
      </c>
      <c r="AB292" s="10" t="str" cm="1">
        <f t="array" ref="AB292">_xlfn.IFS(Table1[[#This Row],[age]]&lt; 20,"&lt;20",Table1[[#This Row],[age]]&lt; 30,"21-30",Table1[[#This Row],[age]]&lt; 40,"31-40", Table1[[#This Row],[age]]&lt; 50,"41-50",Table1[[#This Row],[age]]&lt; 60,"51-60",Table1[[#This Row],[age]]&lt;70,"60+")</f>
        <v>51-60</v>
      </c>
    </row>
    <row r="293" spans="1:28" ht="13.5" customHeight="1">
      <c r="A293" s="5" t="s">
        <v>457</v>
      </c>
      <c r="B293" s="6">
        <v>10253</v>
      </c>
      <c r="C293" s="6">
        <v>55875</v>
      </c>
      <c r="D293" s="6" t="s">
        <v>131</v>
      </c>
      <c r="E293" s="6" t="s">
        <v>458</v>
      </c>
      <c r="F293" s="6">
        <v>4063</v>
      </c>
      <c r="G293" s="7">
        <v>32819</v>
      </c>
      <c r="H293" s="6" t="s">
        <v>31</v>
      </c>
      <c r="I293" s="6" t="s">
        <v>32</v>
      </c>
      <c r="J293" s="6" t="s">
        <v>33</v>
      </c>
      <c r="K293" s="6" t="s">
        <v>34</v>
      </c>
      <c r="L293" s="6" t="s">
        <v>104</v>
      </c>
      <c r="M293" s="7">
        <v>41032</v>
      </c>
      <c r="N293" s="7">
        <v>32874</v>
      </c>
      <c r="O293" s="6" t="s">
        <v>36</v>
      </c>
      <c r="P293" s="6" t="s">
        <v>37</v>
      </c>
      <c r="Q293" s="6" t="s">
        <v>133</v>
      </c>
      <c r="R293" s="6" t="s">
        <v>134</v>
      </c>
      <c r="S293" s="6" t="s">
        <v>193</v>
      </c>
      <c r="T293" s="6" t="s">
        <v>50</v>
      </c>
      <c r="U293" s="6">
        <v>4.5</v>
      </c>
      <c r="V293" s="6">
        <v>4</v>
      </c>
      <c r="W293" s="6">
        <v>0</v>
      </c>
      <c r="X293" s="7">
        <v>43483</v>
      </c>
      <c r="Y293" s="6">
        <v>0</v>
      </c>
      <c r="Z293" s="8">
        <v>11</v>
      </c>
      <c r="AA293" s="9">
        <f>DATEDIF(Table1[[#This Row],[DateofBirth]],"1-1-2020","y")</f>
        <v>30</v>
      </c>
      <c r="AB293" s="10" t="str" cm="1">
        <f t="array" ref="AB293">_xlfn.IFS(Table1[[#This Row],[age]]&lt; 20,"&lt;20",Table1[[#This Row],[age]]&lt; 30,"21-30",Table1[[#This Row],[age]]&lt; 40,"31-40", Table1[[#This Row],[age]]&lt; 50,"41-50",Table1[[#This Row],[age]]&lt; 60,"51-60",Table1[[#This Row],[age]]&lt;70,"60+")</f>
        <v>31-40</v>
      </c>
    </row>
    <row r="294" spans="1:28" ht="13.5" customHeight="1">
      <c r="A294" s="5" t="s">
        <v>459</v>
      </c>
      <c r="B294" s="6">
        <v>10118</v>
      </c>
      <c r="C294" s="6">
        <v>113999</v>
      </c>
      <c r="D294" s="6" t="s">
        <v>101</v>
      </c>
      <c r="E294" s="6" t="s">
        <v>30</v>
      </c>
      <c r="F294" s="6">
        <v>1960</v>
      </c>
      <c r="G294" s="7">
        <v>31601</v>
      </c>
      <c r="H294" s="6" t="s">
        <v>31</v>
      </c>
      <c r="I294" s="6" t="s">
        <v>44</v>
      </c>
      <c r="J294" s="6" t="s">
        <v>33</v>
      </c>
      <c r="K294" s="6" t="s">
        <v>34</v>
      </c>
      <c r="L294" s="6" t="s">
        <v>74</v>
      </c>
      <c r="M294" s="7">
        <v>42051</v>
      </c>
      <c r="N294" s="7">
        <v>42788</v>
      </c>
      <c r="O294" s="6" t="s">
        <v>210</v>
      </c>
      <c r="P294" s="6" t="s">
        <v>96</v>
      </c>
      <c r="Q294" s="6" t="s">
        <v>47</v>
      </c>
      <c r="R294" s="6" t="s">
        <v>48</v>
      </c>
      <c r="S294" s="6" t="s">
        <v>72</v>
      </c>
      <c r="T294" s="6" t="s">
        <v>50</v>
      </c>
      <c r="U294" s="6">
        <v>4.33</v>
      </c>
      <c r="V294" s="6">
        <v>3</v>
      </c>
      <c r="W294" s="6">
        <v>7</v>
      </c>
      <c r="X294" s="7">
        <v>42781</v>
      </c>
      <c r="Y294" s="6">
        <v>0</v>
      </c>
      <c r="Z294" s="8">
        <v>9</v>
      </c>
      <c r="AA294" s="9">
        <f>DATEDIF(Table1[[#This Row],[DateofBirth]],"1-1-2020","y")</f>
        <v>33</v>
      </c>
      <c r="AB294" s="10" t="str" cm="1">
        <f t="array" ref="AB294">_xlfn.IFS(Table1[[#This Row],[age]]&lt; 20,"&lt;20",Table1[[#This Row],[age]]&lt; 30,"21-30",Table1[[#This Row],[age]]&lt; 40,"31-40", Table1[[#This Row],[age]]&lt; 50,"41-50",Table1[[#This Row],[age]]&lt; 60,"51-60",Table1[[#This Row],[age]]&lt;70,"60+")</f>
        <v>31-40</v>
      </c>
    </row>
    <row r="295" spans="1:28" ht="13.5" customHeight="1">
      <c r="A295" s="5" t="s">
        <v>460</v>
      </c>
      <c r="B295" s="6">
        <v>10022</v>
      </c>
      <c r="C295" s="6">
        <v>49773</v>
      </c>
      <c r="D295" s="6" t="s">
        <v>29</v>
      </c>
      <c r="E295" s="6" t="s">
        <v>30</v>
      </c>
      <c r="F295" s="6">
        <v>2747</v>
      </c>
      <c r="G295" s="7">
        <v>31477</v>
      </c>
      <c r="H295" s="6" t="s">
        <v>53</v>
      </c>
      <c r="I295" s="6" t="s">
        <v>44</v>
      </c>
      <c r="J295" s="6" t="s">
        <v>33</v>
      </c>
      <c r="K295" s="6" t="s">
        <v>34</v>
      </c>
      <c r="L295" s="6" t="s">
        <v>35</v>
      </c>
      <c r="M295" s="7">
        <v>40812</v>
      </c>
      <c r="N295" s="7">
        <v>42584</v>
      </c>
      <c r="O295" s="6" t="s">
        <v>461</v>
      </c>
      <c r="P295" s="6" t="s">
        <v>96</v>
      </c>
      <c r="Q295" s="6" t="s">
        <v>38</v>
      </c>
      <c r="R295" s="6" t="s">
        <v>91</v>
      </c>
      <c r="S295" s="6" t="s">
        <v>62</v>
      </c>
      <c r="T295" s="6" t="s">
        <v>41</v>
      </c>
      <c r="U295" s="6">
        <v>4.3</v>
      </c>
      <c r="V295" s="6">
        <v>5</v>
      </c>
      <c r="W295" s="6">
        <v>0</v>
      </c>
      <c r="X295" s="7">
        <v>42006</v>
      </c>
      <c r="Y295" s="6">
        <v>0</v>
      </c>
      <c r="Z295" s="8">
        <v>18</v>
      </c>
      <c r="AA295" s="9">
        <f>DATEDIF(Table1[[#This Row],[DateofBirth]],"1-1-2020","y")</f>
        <v>33</v>
      </c>
      <c r="AB295" s="10" t="str" cm="1">
        <f t="array" ref="AB295">_xlfn.IFS(Table1[[#This Row],[age]]&lt; 20,"&lt;20",Table1[[#This Row],[age]]&lt; 30,"21-30",Table1[[#This Row],[age]]&lt; 40,"31-40", Table1[[#This Row],[age]]&lt; 50,"41-50",Table1[[#This Row],[age]]&lt; 60,"51-60",Table1[[#This Row],[age]]&lt;70,"60+")</f>
        <v>31-40</v>
      </c>
    </row>
    <row r="296" spans="1:28" ht="13.5" customHeight="1">
      <c r="A296" s="5" t="s">
        <v>462</v>
      </c>
      <c r="B296" s="6">
        <v>10183</v>
      </c>
      <c r="C296" s="6">
        <v>62068</v>
      </c>
      <c r="D296" s="6" t="s">
        <v>29</v>
      </c>
      <c r="E296" s="6" t="s">
        <v>30</v>
      </c>
      <c r="F296" s="6">
        <v>2124</v>
      </c>
      <c r="G296" s="7">
        <v>31202</v>
      </c>
      <c r="H296" s="6" t="s">
        <v>53</v>
      </c>
      <c r="I296" s="6" t="s">
        <v>32</v>
      </c>
      <c r="J296" s="6" t="s">
        <v>33</v>
      </c>
      <c r="K296" s="6" t="s">
        <v>34</v>
      </c>
      <c r="L296" s="6" t="s">
        <v>35</v>
      </c>
      <c r="M296" s="7">
        <v>42131</v>
      </c>
      <c r="N296" s="7">
        <v>32874</v>
      </c>
      <c r="O296" s="6" t="s">
        <v>36</v>
      </c>
      <c r="P296" s="6" t="s">
        <v>37</v>
      </c>
      <c r="Q296" s="6" t="s">
        <v>38</v>
      </c>
      <c r="R296" s="6" t="s">
        <v>39</v>
      </c>
      <c r="S296" s="6" t="s">
        <v>40</v>
      </c>
      <c r="T296" s="6" t="s">
        <v>50</v>
      </c>
      <c r="U296" s="6">
        <v>3.21</v>
      </c>
      <c r="V296" s="6">
        <v>3</v>
      </c>
      <c r="W296" s="6">
        <v>0</v>
      </c>
      <c r="X296" s="7">
        <v>43494</v>
      </c>
      <c r="Y296" s="6">
        <v>0</v>
      </c>
      <c r="Z296" s="8">
        <v>7</v>
      </c>
      <c r="AA296" s="9">
        <f>DATEDIF(Table1[[#This Row],[DateofBirth]],"1-1-2020","y")</f>
        <v>34</v>
      </c>
      <c r="AB296" s="10" t="str" cm="1">
        <f t="array" ref="AB296">_xlfn.IFS(Table1[[#This Row],[age]]&lt; 20,"&lt;20",Table1[[#This Row],[age]]&lt; 30,"21-30",Table1[[#This Row],[age]]&lt; 40,"31-40", Table1[[#This Row],[age]]&lt; 50,"41-50",Table1[[#This Row],[age]]&lt; 60,"51-60",Table1[[#This Row],[age]]&lt;70,"60+")</f>
        <v>31-40</v>
      </c>
    </row>
    <row r="297" spans="1:28" ht="13.5" customHeight="1">
      <c r="A297" s="5" t="s">
        <v>463</v>
      </c>
      <c r="B297" s="6">
        <v>10190</v>
      </c>
      <c r="C297" s="6">
        <v>66541</v>
      </c>
      <c r="D297" s="6" t="s">
        <v>52</v>
      </c>
      <c r="E297" s="6" t="s">
        <v>30</v>
      </c>
      <c r="F297" s="6">
        <v>2459</v>
      </c>
      <c r="G297" s="7">
        <v>28035</v>
      </c>
      <c r="H297" s="6" t="s">
        <v>31</v>
      </c>
      <c r="I297" s="6" t="s">
        <v>32</v>
      </c>
      <c r="J297" s="6" t="s">
        <v>33</v>
      </c>
      <c r="K297" s="6" t="s">
        <v>34</v>
      </c>
      <c r="L297" s="6" t="s">
        <v>74</v>
      </c>
      <c r="M297" s="7">
        <v>41869</v>
      </c>
      <c r="N297" s="7">
        <v>32874</v>
      </c>
      <c r="O297" s="6" t="s">
        <v>36</v>
      </c>
      <c r="P297" s="6" t="s">
        <v>37</v>
      </c>
      <c r="Q297" s="6" t="s">
        <v>38</v>
      </c>
      <c r="R297" s="6" t="s">
        <v>71</v>
      </c>
      <c r="S297" s="6" t="s">
        <v>72</v>
      </c>
      <c r="T297" s="6" t="s">
        <v>50</v>
      </c>
      <c r="U297" s="6">
        <v>3.11</v>
      </c>
      <c r="V297" s="6">
        <v>5</v>
      </c>
      <c r="W297" s="6">
        <v>0</v>
      </c>
      <c r="X297" s="7">
        <v>43801</v>
      </c>
      <c r="Y297" s="6">
        <v>0</v>
      </c>
      <c r="Z297" s="8">
        <v>4</v>
      </c>
      <c r="AA297" s="9">
        <f>DATEDIF(Table1[[#This Row],[DateofBirth]],"1-1-2020","y")</f>
        <v>43</v>
      </c>
      <c r="AB297" s="10" t="str" cm="1">
        <f t="array" ref="AB297">_xlfn.IFS(Table1[[#This Row],[age]]&lt; 20,"&lt;20",Table1[[#This Row],[age]]&lt; 30,"21-30",Table1[[#This Row],[age]]&lt; 40,"31-40", Table1[[#This Row],[age]]&lt; 50,"41-50",Table1[[#This Row],[age]]&lt; 60,"51-60",Table1[[#This Row],[age]]&lt;70,"60+")</f>
        <v>41-50</v>
      </c>
    </row>
    <row r="298" spans="1:28" ht="13.5" customHeight="1">
      <c r="A298" s="5" t="s">
        <v>464</v>
      </c>
      <c r="B298" s="6">
        <v>10274</v>
      </c>
      <c r="C298" s="6">
        <v>80512</v>
      </c>
      <c r="D298" s="6" t="s">
        <v>121</v>
      </c>
      <c r="E298" s="6" t="s">
        <v>30</v>
      </c>
      <c r="F298" s="6">
        <v>2478</v>
      </c>
      <c r="G298" s="7">
        <v>20407</v>
      </c>
      <c r="H298" s="6" t="s">
        <v>53</v>
      </c>
      <c r="I298" s="6" t="s">
        <v>44</v>
      </c>
      <c r="J298" s="6" t="s">
        <v>33</v>
      </c>
      <c r="K298" s="6" t="s">
        <v>34</v>
      </c>
      <c r="L298" s="6" t="s">
        <v>74</v>
      </c>
      <c r="M298" s="7">
        <v>40812</v>
      </c>
      <c r="N298" s="7">
        <v>40940</v>
      </c>
      <c r="O298" s="6" t="s">
        <v>82</v>
      </c>
      <c r="P298" s="6" t="s">
        <v>46</v>
      </c>
      <c r="Q298" s="6" t="s">
        <v>38</v>
      </c>
      <c r="R298" s="6" t="s">
        <v>123</v>
      </c>
      <c r="S298" s="6" t="s">
        <v>76</v>
      </c>
      <c r="T298" s="6" t="s">
        <v>50</v>
      </c>
      <c r="U298" s="6">
        <v>4.5</v>
      </c>
      <c r="V298" s="6">
        <v>3</v>
      </c>
      <c r="W298" s="6">
        <v>0</v>
      </c>
      <c r="X298" s="7">
        <v>40940</v>
      </c>
      <c r="Y298" s="6">
        <v>0</v>
      </c>
      <c r="Z298" s="8">
        <v>5</v>
      </c>
      <c r="AA298" s="9">
        <f>DATEDIF(Table1[[#This Row],[DateofBirth]],"1-1-2020","y")</f>
        <v>64</v>
      </c>
      <c r="AB298" s="10" t="str" cm="1">
        <f t="array" ref="AB298">_xlfn.IFS(Table1[[#This Row],[age]]&lt; 20,"&lt;20",Table1[[#This Row],[age]]&lt; 30,"21-30",Table1[[#This Row],[age]]&lt; 40,"31-40", Table1[[#This Row],[age]]&lt; 50,"41-50",Table1[[#This Row],[age]]&lt; 60,"51-60",Table1[[#This Row],[age]]&lt;70,"60+")</f>
        <v>60+</v>
      </c>
    </row>
    <row r="299" spans="1:28" ht="13.5" customHeight="1">
      <c r="A299" s="5" t="s">
        <v>465</v>
      </c>
      <c r="B299" s="6">
        <v>10293</v>
      </c>
      <c r="C299" s="6">
        <v>50274</v>
      </c>
      <c r="D299" s="6" t="s">
        <v>29</v>
      </c>
      <c r="E299" s="6" t="s">
        <v>30</v>
      </c>
      <c r="F299" s="6">
        <v>1887</v>
      </c>
      <c r="G299" s="7">
        <v>29259</v>
      </c>
      <c r="H299" s="6" t="s">
        <v>53</v>
      </c>
      <c r="I299" s="6" t="s">
        <v>32</v>
      </c>
      <c r="J299" s="6" t="s">
        <v>33</v>
      </c>
      <c r="K299" s="6" t="s">
        <v>34</v>
      </c>
      <c r="L299" s="6" t="s">
        <v>35</v>
      </c>
      <c r="M299" s="7">
        <v>41134</v>
      </c>
      <c r="N299" s="7">
        <v>42013</v>
      </c>
      <c r="O299" s="6" t="s">
        <v>45</v>
      </c>
      <c r="P299" s="6" t="s">
        <v>46</v>
      </c>
      <c r="Q299" s="6" t="s">
        <v>38</v>
      </c>
      <c r="R299" s="6" t="s">
        <v>57</v>
      </c>
      <c r="S299" s="6" t="s">
        <v>109</v>
      </c>
      <c r="T299" s="6" t="s">
        <v>110</v>
      </c>
      <c r="U299" s="6">
        <v>2.5</v>
      </c>
      <c r="V299" s="6">
        <v>3</v>
      </c>
      <c r="W299" s="6">
        <v>0</v>
      </c>
      <c r="X299" s="7">
        <v>41768</v>
      </c>
      <c r="Y299" s="6">
        <v>6</v>
      </c>
      <c r="Z299" s="8">
        <v>13</v>
      </c>
      <c r="AA299" s="9">
        <f>DATEDIF(Table1[[#This Row],[DateofBirth]],"1-1-2020","y")</f>
        <v>39</v>
      </c>
      <c r="AB299" s="10" t="str" cm="1">
        <f t="array" ref="AB299">_xlfn.IFS(Table1[[#This Row],[age]]&lt; 20,"&lt;20",Table1[[#This Row],[age]]&lt; 30,"21-30",Table1[[#This Row],[age]]&lt; 40,"31-40", Table1[[#This Row],[age]]&lt; 50,"41-50",Table1[[#This Row],[age]]&lt; 60,"51-60",Table1[[#This Row],[age]]&lt;70,"60+")</f>
        <v>31-40</v>
      </c>
    </row>
    <row r="300" spans="1:28" ht="13.5" customHeight="1">
      <c r="A300" s="5" t="s">
        <v>466</v>
      </c>
      <c r="B300" s="6">
        <v>10172</v>
      </c>
      <c r="C300" s="6">
        <v>84903</v>
      </c>
      <c r="D300" s="6" t="s">
        <v>308</v>
      </c>
      <c r="E300" s="6" t="s">
        <v>30</v>
      </c>
      <c r="F300" s="6">
        <v>1887</v>
      </c>
      <c r="G300" s="7">
        <v>29805</v>
      </c>
      <c r="H300" s="6" t="s">
        <v>31</v>
      </c>
      <c r="I300" s="6" t="s">
        <v>32</v>
      </c>
      <c r="J300" s="6" t="s">
        <v>33</v>
      </c>
      <c r="K300" s="6" t="s">
        <v>34</v>
      </c>
      <c r="L300" s="6" t="s">
        <v>104</v>
      </c>
      <c r="M300" s="7">
        <v>42781</v>
      </c>
      <c r="N300" s="7">
        <v>32874</v>
      </c>
      <c r="O300" s="6" t="s">
        <v>36</v>
      </c>
      <c r="P300" s="6" t="s">
        <v>37</v>
      </c>
      <c r="Q300" s="6" t="s">
        <v>47</v>
      </c>
      <c r="R300" s="6" t="s">
        <v>189</v>
      </c>
      <c r="S300" s="6" t="s">
        <v>49</v>
      </c>
      <c r="T300" s="6" t="s">
        <v>50</v>
      </c>
      <c r="U300" s="6">
        <v>3.42</v>
      </c>
      <c r="V300" s="6">
        <v>4</v>
      </c>
      <c r="W300" s="6">
        <v>7</v>
      </c>
      <c r="X300" s="7">
        <v>43556</v>
      </c>
      <c r="Y300" s="6">
        <v>0</v>
      </c>
      <c r="Z300" s="8">
        <v>17</v>
      </c>
      <c r="AA300" s="9">
        <f>DATEDIF(Table1[[#This Row],[DateofBirth]],"1-1-2020","y")</f>
        <v>38</v>
      </c>
      <c r="AB300" s="10" t="str" cm="1">
        <f t="array" ref="AB300">_xlfn.IFS(Table1[[#This Row],[age]]&lt; 20,"&lt;20",Table1[[#This Row],[age]]&lt; 30,"21-30",Table1[[#This Row],[age]]&lt; 40,"31-40", Table1[[#This Row],[age]]&lt; 50,"41-50",Table1[[#This Row],[age]]&lt; 60,"51-60",Table1[[#This Row],[age]]&lt;70,"60+")</f>
        <v>31-40</v>
      </c>
    </row>
    <row r="301" spans="1:28" ht="13.5" customHeight="1">
      <c r="A301" s="5" t="s">
        <v>467</v>
      </c>
      <c r="B301" s="6">
        <v>10127</v>
      </c>
      <c r="C301" s="6">
        <v>107226</v>
      </c>
      <c r="D301" s="6" t="s">
        <v>171</v>
      </c>
      <c r="E301" s="6" t="s">
        <v>30</v>
      </c>
      <c r="F301" s="6">
        <v>2453</v>
      </c>
      <c r="G301" s="7">
        <v>28526</v>
      </c>
      <c r="H301" s="6" t="s">
        <v>53</v>
      </c>
      <c r="I301" s="6" t="s">
        <v>70</v>
      </c>
      <c r="J301" s="6" t="s">
        <v>33</v>
      </c>
      <c r="K301" s="6" t="s">
        <v>34</v>
      </c>
      <c r="L301" s="6" t="s">
        <v>104</v>
      </c>
      <c r="M301" s="7">
        <v>42093</v>
      </c>
      <c r="N301" s="7">
        <v>32874</v>
      </c>
      <c r="O301" s="6" t="s">
        <v>36</v>
      </c>
      <c r="P301" s="6" t="s">
        <v>37</v>
      </c>
      <c r="Q301" s="6" t="s">
        <v>47</v>
      </c>
      <c r="R301" s="6" t="s">
        <v>79</v>
      </c>
      <c r="S301" s="6" t="s">
        <v>72</v>
      </c>
      <c r="T301" s="6" t="s">
        <v>50</v>
      </c>
      <c r="U301" s="6">
        <v>4.2</v>
      </c>
      <c r="V301" s="6">
        <v>4</v>
      </c>
      <c r="W301" s="6">
        <v>8</v>
      </c>
      <c r="X301" s="7">
        <v>43587</v>
      </c>
      <c r="Y301" s="6">
        <v>0</v>
      </c>
      <c r="Z301" s="8">
        <v>7</v>
      </c>
      <c r="AA301" s="9">
        <f>DATEDIF(Table1[[#This Row],[DateofBirth]],"1-1-2020","y")</f>
        <v>41</v>
      </c>
      <c r="AB301" s="10" t="str" cm="1">
        <f t="array" ref="AB301">_xlfn.IFS(Table1[[#This Row],[age]]&lt; 20,"&lt;20",Table1[[#This Row],[age]]&lt; 30,"21-30",Table1[[#This Row],[age]]&lt; 40,"31-40", Table1[[#This Row],[age]]&lt; 50,"41-50",Table1[[#This Row],[age]]&lt; 60,"51-60",Table1[[#This Row],[age]]&lt;70,"60+")</f>
        <v>41-50</v>
      </c>
    </row>
    <row r="302" spans="1:28" ht="13.5" customHeight="1">
      <c r="A302" s="5" t="s">
        <v>468</v>
      </c>
      <c r="B302" s="6">
        <v>10072</v>
      </c>
      <c r="C302" s="6">
        <v>58371</v>
      </c>
      <c r="D302" s="6" t="s">
        <v>29</v>
      </c>
      <c r="E302" s="6" t="s">
        <v>30</v>
      </c>
      <c r="F302" s="6">
        <v>2030</v>
      </c>
      <c r="G302" s="7">
        <v>31921</v>
      </c>
      <c r="H302" s="6" t="s">
        <v>31</v>
      </c>
      <c r="I302" s="6" t="s">
        <v>32</v>
      </c>
      <c r="J302" s="6" t="s">
        <v>33</v>
      </c>
      <c r="K302" s="6" t="s">
        <v>81</v>
      </c>
      <c r="L302" s="6" t="s">
        <v>35</v>
      </c>
      <c r="M302" s="7">
        <v>40817</v>
      </c>
      <c r="N302" s="7">
        <v>41774</v>
      </c>
      <c r="O302" s="6" t="s">
        <v>54</v>
      </c>
      <c r="P302" s="6" t="s">
        <v>46</v>
      </c>
      <c r="Q302" s="6" t="s">
        <v>38</v>
      </c>
      <c r="R302" s="6" t="s">
        <v>61</v>
      </c>
      <c r="S302" s="6" t="s">
        <v>40</v>
      </c>
      <c r="T302" s="6" t="s">
        <v>50</v>
      </c>
      <c r="U302" s="6">
        <v>5</v>
      </c>
      <c r="V302" s="6">
        <v>5</v>
      </c>
      <c r="W302" s="6">
        <v>0</v>
      </c>
      <c r="X302" s="7">
        <v>41774</v>
      </c>
      <c r="Y302" s="6">
        <v>0</v>
      </c>
      <c r="Z302" s="8">
        <v>11</v>
      </c>
      <c r="AA302" s="9">
        <f>DATEDIF(Table1[[#This Row],[DateofBirth]],"1-1-2020","y")</f>
        <v>32</v>
      </c>
      <c r="AB302" s="10" t="str" cm="1">
        <f t="array" ref="AB302">_xlfn.IFS(Table1[[#This Row],[age]]&lt; 20,"&lt;20",Table1[[#This Row],[age]]&lt; 30,"21-30",Table1[[#This Row],[age]]&lt; 40,"31-40", Table1[[#This Row],[age]]&lt; 50,"41-50",Table1[[#This Row],[age]]&lt; 60,"51-60",Table1[[#This Row],[age]]&lt;70,"60+")</f>
        <v>31-40</v>
      </c>
    </row>
    <row r="303" spans="1:28" ht="13.5" customHeight="1">
      <c r="A303" s="5" t="s">
        <v>469</v>
      </c>
      <c r="B303" s="6">
        <v>10048</v>
      </c>
      <c r="C303" s="6">
        <v>55140</v>
      </c>
      <c r="D303" s="6" t="s">
        <v>29</v>
      </c>
      <c r="E303" s="6" t="s">
        <v>30</v>
      </c>
      <c r="F303" s="6">
        <v>2324</v>
      </c>
      <c r="G303" s="7">
        <v>23994</v>
      </c>
      <c r="H303" s="6" t="s">
        <v>31</v>
      </c>
      <c r="I303" s="6" t="s">
        <v>44</v>
      </c>
      <c r="J303" s="6" t="s">
        <v>99</v>
      </c>
      <c r="K303" s="6" t="s">
        <v>34</v>
      </c>
      <c r="L303" s="6" t="s">
        <v>35</v>
      </c>
      <c r="M303" s="7">
        <v>40679</v>
      </c>
      <c r="N303" s="7">
        <v>42194</v>
      </c>
      <c r="O303" s="6" t="s">
        <v>85</v>
      </c>
      <c r="P303" s="6" t="s">
        <v>46</v>
      </c>
      <c r="Q303" s="6" t="s">
        <v>38</v>
      </c>
      <c r="R303" s="6" t="s">
        <v>64</v>
      </c>
      <c r="S303" s="6" t="s">
        <v>193</v>
      </c>
      <c r="T303" s="6" t="s">
        <v>50</v>
      </c>
      <c r="U303" s="6">
        <v>5</v>
      </c>
      <c r="V303" s="6">
        <v>3</v>
      </c>
      <c r="W303" s="6">
        <v>0</v>
      </c>
      <c r="X303" s="7">
        <v>42050</v>
      </c>
      <c r="Y303" s="6">
        <v>0</v>
      </c>
      <c r="Z303" s="8">
        <v>7</v>
      </c>
      <c r="AA303" s="9">
        <f>DATEDIF(Table1[[#This Row],[DateofBirth]],"1-1-2020","y")</f>
        <v>54</v>
      </c>
      <c r="AB303" s="10" t="str" cm="1">
        <f t="array" ref="AB303">_xlfn.IFS(Table1[[#This Row],[age]]&lt; 20,"&lt;20",Table1[[#This Row],[age]]&lt; 30,"21-30",Table1[[#This Row],[age]]&lt; 40,"31-40", Table1[[#This Row],[age]]&lt; 50,"41-50",Table1[[#This Row],[age]]&lt; 60,"51-60",Table1[[#This Row],[age]]&lt;70,"60+")</f>
        <v>51-60</v>
      </c>
    </row>
    <row r="304" spans="1:28" ht="13.5" customHeight="1">
      <c r="A304" s="5" t="s">
        <v>470</v>
      </c>
      <c r="B304" s="6">
        <v>10204</v>
      </c>
      <c r="C304" s="6">
        <v>58062</v>
      </c>
      <c r="D304" s="6" t="s">
        <v>29</v>
      </c>
      <c r="E304" s="6" t="s">
        <v>30</v>
      </c>
      <c r="F304" s="6">
        <v>1876</v>
      </c>
      <c r="G304" s="7">
        <v>30527</v>
      </c>
      <c r="H304" s="6" t="s">
        <v>53</v>
      </c>
      <c r="I304" s="6" t="s">
        <v>59</v>
      </c>
      <c r="J304" s="6" t="s">
        <v>33</v>
      </c>
      <c r="K304" s="6" t="s">
        <v>34</v>
      </c>
      <c r="L304" s="6" t="s">
        <v>35</v>
      </c>
      <c r="M304" s="7">
        <v>40817</v>
      </c>
      <c r="N304" s="7">
        <v>41043</v>
      </c>
      <c r="O304" s="6" t="s">
        <v>82</v>
      </c>
      <c r="P304" s="6" t="s">
        <v>46</v>
      </c>
      <c r="Q304" s="6" t="s">
        <v>38</v>
      </c>
      <c r="R304" s="6" t="s">
        <v>71</v>
      </c>
      <c r="S304" s="6" t="s">
        <v>62</v>
      </c>
      <c r="T304" s="6" t="s">
        <v>50</v>
      </c>
      <c r="U304" s="6">
        <v>3.6</v>
      </c>
      <c r="V304" s="6">
        <v>5</v>
      </c>
      <c r="W304" s="6">
        <v>0</v>
      </c>
      <c r="X304" s="7">
        <v>40696</v>
      </c>
      <c r="Y304" s="6">
        <v>0</v>
      </c>
      <c r="Z304" s="8">
        <v>9</v>
      </c>
      <c r="AA304" s="9">
        <f>DATEDIF(Table1[[#This Row],[DateofBirth]],"1-1-2020","y")</f>
        <v>36</v>
      </c>
      <c r="AB304" s="10" t="str" cm="1">
        <f t="array" ref="AB304">_xlfn.IFS(Table1[[#This Row],[age]]&lt; 20,"&lt;20",Table1[[#This Row],[age]]&lt; 30,"21-30",Table1[[#This Row],[age]]&lt; 40,"31-40", Table1[[#This Row],[age]]&lt; 50,"41-50",Table1[[#This Row],[age]]&lt; 60,"51-60",Table1[[#This Row],[age]]&lt;70,"60+")</f>
        <v>31-40</v>
      </c>
    </row>
    <row r="305" spans="1:28" ht="13.5" customHeight="1">
      <c r="A305" s="5" t="s">
        <v>471</v>
      </c>
      <c r="B305" s="6">
        <v>10264</v>
      </c>
      <c r="C305" s="6">
        <v>59728</v>
      </c>
      <c r="D305" s="6" t="s">
        <v>29</v>
      </c>
      <c r="E305" s="6" t="s">
        <v>30</v>
      </c>
      <c r="F305" s="6">
        <v>2109</v>
      </c>
      <c r="G305" s="7">
        <v>25244</v>
      </c>
      <c r="H305" s="6" t="s">
        <v>53</v>
      </c>
      <c r="I305" s="6" t="s">
        <v>32</v>
      </c>
      <c r="J305" s="6" t="s">
        <v>33</v>
      </c>
      <c r="K305" s="6" t="s">
        <v>81</v>
      </c>
      <c r="L305" s="6" t="s">
        <v>74</v>
      </c>
      <c r="M305" s="7">
        <v>41153</v>
      </c>
      <c r="N305" s="7">
        <v>42182</v>
      </c>
      <c r="O305" s="6" t="s">
        <v>154</v>
      </c>
      <c r="P305" s="6" t="s">
        <v>46</v>
      </c>
      <c r="Q305" s="6" t="s">
        <v>38</v>
      </c>
      <c r="R305" s="6" t="s">
        <v>71</v>
      </c>
      <c r="S305" s="6" t="s">
        <v>76</v>
      </c>
      <c r="T305" s="6" t="s">
        <v>50</v>
      </c>
      <c r="U305" s="6">
        <v>4.3</v>
      </c>
      <c r="V305" s="6">
        <v>4</v>
      </c>
      <c r="W305" s="6">
        <v>0</v>
      </c>
      <c r="X305" s="7">
        <v>41676</v>
      </c>
      <c r="Y305" s="6">
        <v>0</v>
      </c>
      <c r="Z305" s="8">
        <v>16</v>
      </c>
      <c r="AA305" s="9">
        <f>DATEDIF(Table1[[#This Row],[DateofBirth]],"1-1-2020","y")</f>
        <v>50</v>
      </c>
      <c r="AB305" s="10" t="str" cm="1">
        <f t="array" ref="AB305">_xlfn.IFS(Table1[[#This Row],[age]]&lt; 20,"&lt;20",Table1[[#This Row],[age]]&lt; 30,"21-30",Table1[[#This Row],[age]]&lt; 40,"31-40", Table1[[#This Row],[age]]&lt; 50,"41-50",Table1[[#This Row],[age]]&lt; 60,"51-60",Table1[[#This Row],[age]]&lt;70,"60+")</f>
        <v>51-60</v>
      </c>
    </row>
    <row r="306" spans="1:28" ht="13.5" customHeight="1">
      <c r="A306" s="5" t="s">
        <v>472</v>
      </c>
      <c r="B306" s="6">
        <v>10033</v>
      </c>
      <c r="C306" s="6">
        <v>70507</v>
      </c>
      <c r="D306" s="6" t="s">
        <v>52</v>
      </c>
      <c r="E306" s="6" t="s">
        <v>30</v>
      </c>
      <c r="F306" s="6">
        <v>2045</v>
      </c>
      <c r="G306" s="7">
        <v>21377</v>
      </c>
      <c r="H306" s="6" t="s">
        <v>31</v>
      </c>
      <c r="I306" s="6" t="s">
        <v>32</v>
      </c>
      <c r="J306" s="6" t="s">
        <v>33</v>
      </c>
      <c r="K306" s="6" t="s">
        <v>34</v>
      </c>
      <c r="L306" s="6" t="s">
        <v>35</v>
      </c>
      <c r="M306" s="7">
        <v>41456</v>
      </c>
      <c r="N306" s="7">
        <v>42421</v>
      </c>
      <c r="O306" s="6" t="s">
        <v>122</v>
      </c>
      <c r="P306" s="6" t="s">
        <v>46</v>
      </c>
      <c r="Q306" s="6" t="s">
        <v>38</v>
      </c>
      <c r="R306" s="6" t="s">
        <v>75</v>
      </c>
      <c r="S306" s="6" t="s">
        <v>40</v>
      </c>
      <c r="T306" s="6" t="s">
        <v>41</v>
      </c>
      <c r="U306" s="6">
        <v>5</v>
      </c>
      <c r="V306" s="6">
        <v>3</v>
      </c>
      <c r="W306" s="6">
        <v>0</v>
      </c>
      <c r="X306" s="7">
        <v>42388</v>
      </c>
      <c r="Y306" s="6">
        <v>0</v>
      </c>
      <c r="Z306" s="8">
        <v>7</v>
      </c>
      <c r="AA306" s="9">
        <f>DATEDIF(Table1[[#This Row],[DateofBirth]],"1-1-2020","y")</f>
        <v>61</v>
      </c>
      <c r="AB306" s="10" t="str" cm="1">
        <f t="array" ref="AB306">_xlfn.IFS(Table1[[#This Row],[age]]&lt; 20,"&lt;20",Table1[[#This Row],[age]]&lt; 30,"21-30",Table1[[#This Row],[age]]&lt; 40,"31-40", Table1[[#This Row],[age]]&lt; 50,"41-50",Table1[[#This Row],[age]]&lt; 60,"51-60",Table1[[#This Row],[age]]&lt;70,"60+")</f>
        <v>60+</v>
      </c>
    </row>
    <row r="307" spans="1:28" ht="13.5" customHeight="1">
      <c r="A307" s="5" t="s">
        <v>473</v>
      </c>
      <c r="B307" s="6">
        <v>10174</v>
      </c>
      <c r="C307" s="6">
        <v>60446</v>
      </c>
      <c r="D307" s="6" t="s">
        <v>52</v>
      </c>
      <c r="E307" s="6" t="s">
        <v>30</v>
      </c>
      <c r="F307" s="6">
        <v>2302</v>
      </c>
      <c r="G307" s="7">
        <v>31157</v>
      </c>
      <c r="H307" s="6" t="s">
        <v>53</v>
      </c>
      <c r="I307" s="6" t="s">
        <v>32</v>
      </c>
      <c r="J307" s="6" t="s">
        <v>33</v>
      </c>
      <c r="K307" s="6" t="s">
        <v>34</v>
      </c>
      <c r="L307" s="6" t="s">
        <v>35</v>
      </c>
      <c r="M307" s="7">
        <v>41911</v>
      </c>
      <c r="N307" s="7">
        <v>32874</v>
      </c>
      <c r="O307" s="6" t="s">
        <v>36</v>
      </c>
      <c r="P307" s="6" t="s">
        <v>37</v>
      </c>
      <c r="Q307" s="6" t="s">
        <v>38</v>
      </c>
      <c r="R307" s="6" t="s">
        <v>83</v>
      </c>
      <c r="S307" s="6" t="s">
        <v>40</v>
      </c>
      <c r="T307" s="6" t="s">
        <v>50</v>
      </c>
      <c r="U307" s="6">
        <v>3.4</v>
      </c>
      <c r="V307" s="6">
        <v>4</v>
      </c>
      <c r="W307" s="6">
        <v>0</v>
      </c>
      <c r="X307" s="7">
        <v>43517</v>
      </c>
      <c r="Y307" s="6">
        <v>0</v>
      </c>
      <c r="Z307" s="8">
        <v>14</v>
      </c>
      <c r="AA307" s="9">
        <f>DATEDIF(Table1[[#This Row],[DateofBirth]],"1-1-2020","y")</f>
        <v>34</v>
      </c>
      <c r="AB307" s="10" t="str" cm="1">
        <f t="array" ref="AB307">_xlfn.IFS(Table1[[#This Row],[age]]&lt; 20,"&lt;20",Table1[[#This Row],[age]]&lt; 30,"21-30",Table1[[#This Row],[age]]&lt; 40,"31-40", Table1[[#This Row],[age]]&lt; 50,"41-50",Table1[[#This Row],[age]]&lt; 60,"51-60",Table1[[#This Row],[age]]&lt;70,"60+")</f>
        <v>31-40</v>
      </c>
    </row>
    <row r="308" spans="1:28" ht="13.5" customHeight="1">
      <c r="A308" s="5" t="s">
        <v>474</v>
      </c>
      <c r="B308" s="6">
        <v>10135</v>
      </c>
      <c r="C308" s="6">
        <v>65893</v>
      </c>
      <c r="D308" s="6" t="s">
        <v>52</v>
      </c>
      <c r="E308" s="6" t="s">
        <v>30</v>
      </c>
      <c r="F308" s="6">
        <v>1810</v>
      </c>
      <c r="G308" s="7">
        <v>31356</v>
      </c>
      <c r="H308" s="6" t="s">
        <v>31</v>
      </c>
      <c r="I308" s="6" t="s">
        <v>32</v>
      </c>
      <c r="J308" s="6" t="s">
        <v>33</v>
      </c>
      <c r="K308" s="6" t="s">
        <v>34</v>
      </c>
      <c r="L308" s="6" t="s">
        <v>35</v>
      </c>
      <c r="M308" s="7">
        <v>41827</v>
      </c>
      <c r="N308" s="7">
        <v>32874</v>
      </c>
      <c r="O308" s="6" t="s">
        <v>36</v>
      </c>
      <c r="P308" s="6" t="s">
        <v>37</v>
      </c>
      <c r="Q308" s="6" t="s">
        <v>38</v>
      </c>
      <c r="R308" s="6" t="s">
        <v>55</v>
      </c>
      <c r="S308" s="6" t="s">
        <v>40</v>
      </c>
      <c r="T308" s="6" t="s">
        <v>50</v>
      </c>
      <c r="U308" s="6">
        <v>4.07</v>
      </c>
      <c r="V308" s="6">
        <v>4</v>
      </c>
      <c r="W308" s="6">
        <v>0</v>
      </c>
      <c r="X308" s="7">
        <v>43524</v>
      </c>
      <c r="Y308" s="6">
        <v>0</v>
      </c>
      <c r="Z308" s="8">
        <v>13</v>
      </c>
      <c r="AA308" s="9">
        <f>DATEDIF(Table1[[#This Row],[DateofBirth]],"1-1-2020","y")</f>
        <v>34</v>
      </c>
      <c r="AB308" s="10" t="str" cm="1">
        <f t="array" ref="AB308">_xlfn.IFS(Table1[[#This Row],[age]]&lt; 20,"&lt;20",Table1[[#This Row],[age]]&lt; 30,"21-30",Table1[[#This Row],[age]]&lt; 40,"31-40", Table1[[#This Row],[age]]&lt; 50,"41-50",Table1[[#This Row],[age]]&lt; 60,"51-60",Table1[[#This Row],[age]]&lt;70,"60+")</f>
        <v>31-40</v>
      </c>
    </row>
    <row r="309" spans="1:28" ht="13.5" customHeight="1">
      <c r="A309" s="5" t="s">
        <v>475</v>
      </c>
      <c r="B309" s="6">
        <v>10301</v>
      </c>
      <c r="C309" s="6">
        <v>48513</v>
      </c>
      <c r="D309" s="6" t="s">
        <v>29</v>
      </c>
      <c r="E309" s="6" t="s">
        <v>30</v>
      </c>
      <c r="F309" s="6">
        <v>2458</v>
      </c>
      <c r="G309" s="7">
        <v>30046</v>
      </c>
      <c r="H309" s="6" t="s">
        <v>53</v>
      </c>
      <c r="I309" s="6" t="s">
        <v>32</v>
      </c>
      <c r="J309" s="6" t="s">
        <v>33</v>
      </c>
      <c r="K309" s="6" t="s">
        <v>34</v>
      </c>
      <c r="L309" s="6" t="s">
        <v>104</v>
      </c>
      <c r="M309" s="7">
        <v>39487</v>
      </c>
      <c r="N309" s="7">
        <v>42276</v>
      </c>
      <c r="O309" s="6" t="s">
        <v>82</v>
      </c>
      <c r="P309" s="6" t="s">
        <v>46</v>
      </c>
      <c r="Q309" s="6" t="s">
        <v>38</v>
      </c>
      <c r="R309" s="6" t="s">
        <v>75</v>
      </c>
      <c r="S309" s="6" t="s">
        <v>62</v>
      </c>
      <c r="T309" s="6" t="s">
        <v>183</v>
      </c>
      <c r="U309" s="6">
        <v>3.2</v>
      </c>
      <c r="V309" s="6">
        <v>2</v>
      </c>
      <c r="W309" s="6">
        <v>0</v>
      </c>
      <c r="X309" s="7">
        <v>42044</v>
      </c>
      <c r="Y309" s="6">
        <v>5</v>
      </c>
      <c r="Z309" s="8">
        <v>4</v>
      </c>
      <c r="AA309" s="9">
        <f>DATEDIF(Table1[[#This Row],[DateofBirth]],"1-1-2020","y")</f>
        <v>37</v>
      </c>
      <c r="AB309" s="10" t="str" cm="1">
        <f t="array" ref="AB309">_xlfn.IFS(Table1[[#This Row],[age]]&lt; 20,"&lt;20",Table1[[#This Row],[age]]&lt; 30,"21-30",Table1[[#This Row],[age]]&lt; 40,"31-40", Table1[[#This Row],[age]]&lt; 50,"41-50",Table1[[#This Row],[age]]&lt; 60,"51-60",Table1[[#This Row],[age]]&lt;70,"60+")</f>
        <v>31-40</v>
      </c>
    </row>
    <row r="310" spans="1:28" ht="13.5" customHeight="1">
      <c r="A310" s="5" t="s">
        <v>476</v>
      </c>
      <c r="B310" s="6">
        <v>10010</v>
      </c>
      <c r="C310" s="6">
        <v>220450</v>
      </c>
      <c r="D310" s="6" t="s">
        <v>477</v>
      </c>
      <c r="E310" s="6" t="s">
        <v>30</v>
      </c>
      <c r="F310" s="6">
        <v>2067</v>
      </c>
      <c r="G310" s="7">
        <v>29097</v>
      </c>
      <c r="H310" s="6" t="s">
        <v>53</v>
      </c>
      <c r="I310" s="6" t="s">
        <v>32</v>
      </c>
      <c r="J310" s="6" t="s">
        <v>33</v>
      </c>
      <c r="K310" s="6" t="s">
        <v>34</v>
      </c>
      <c r="L310" s="6" t="s">
        <v>35</v>
      </c>
      <c r="M310" s="7">
        <v>40455</v>
      </c>
      <c r="N310" s="7">
        <v>32874</v>
      </c>
      <c r="O310" s="6" t="s">
        <v>36</v>
      </c>
      <c r="P310" s="6" t="s">
        <v>37</v>
      </c>
      <c r="Q310" s="6" t="s">
        <v>47</v>
      </c>
      <c r="R310" s="6" t="s">
        <v>123</v>
      </c>
      <c r="S310" s="6" t="s">
        <v>72</v>
      </c>
      <c r="T310" s="6" t="s">
        <v>41</v>
      </c>
      <c r="U310" s="6">
        <v>4.5999999999999996</v>
      </c>
      <c r="V310" s="6">
        <v>5</v>
      </c>
      <c r="W310" s="6">
        <v>6</v>
      </c>
      <c r="X310" s="7">
        <v>43517</v>
      </c>
      <c r="Y310" s="6">
        <v>0</v>
      </c>
      <c r="Z310" s="8">
        <v>16</v>
      </c>
      <c r="AA310" s="9">
        <f>DATEDIF(Table1[[#This Row],[DateofBirth]],"1-1-2020","y")</f>
        <v>40</v>
      </c>
      <c r="AB310" s="10" t="str" cm="1">
        <f t="array" ref="AB310">_xlfn.IFS(Table1[[#This Row],[age]]&lt; 20,"&lt;20",Table1[[#This Row],[age]]&lt; 30,"21-30",Table1[[#This Row],[age]]&lt; 40,"31-40", Table1[[#This Row],[age]]&lt; 50,"41-50",Table1[[#This Row],[age]]&lt; 60,"51-60",Table1[[#This Row],[age]]&lt;70,"60+")</f>
        <v>41-50</v>
      </c>
    </row>
    <row r="311" spans="1:28" ht="13.5" customHeight="1">
      <c r="A311" s="5" t="s">
        <v>478</v>
      </c>
      <c r="B311" s="6">
        <v>10043</v>
      </c>
      <c r="C311" s="6">
        <v>89292</v>
      </c>
      <c r="D311" s="6" t="s">
        <v>87</v>
      </c>
      <c r="E311" s="6" t="s">
        <v>30</v>
      </c>
      <c r="F311" s="6">
        <v>2148</v>
      </c>
      <c r="G311" s="7">
        <v>28910</v>
      </c>
      <c r="H311" s="6" t="s">
        <v>53</v>
      </c>
      <c r="I311" s="6" t="s">
        <v>32</v>
      </c>
      <c r="J311" s="6" t="s">
        <v>33</v>
      </c>
      <c r="K311" s="6" t="s">
        <v>34</v>
      </c>
      <c r="L311" s="6" t="s">
        <v>35</v>
      </c>
      <c r="M311" s="7">
        <v>42093</v>
      </c>
      <c r="N311" s="7">
        <v>32874</v>
      </c>
      <c r="O311" s="6" t="s">
        <v>36</v>
      </c>
      <c r="P311" s="6" t="s">
        <v>37</v>
      </c>
      <c r="Q311" s="6" t="s">
        <v>47</v>
      </c>
      <c r="R311" s="6" t="s">
        <v>48</v>
      </c>
      <c r="S311" s="6" t="s">
        <v>72</v>
      </c>
      <c r="T311" s="6" t="s">
        <v>50</v>
      </c>
      <c r="U311" s="6">
        <v>5</v>
      </c>
      <c r="V311" s="6">
        <v>3</v>
      </c>
      <c r="W311" s="6">
        <v>5</v>
      </c>
      <c r="X311" s="7">
        <v>43467</v>
      </c>
      <c r="Y311" s="6">
        <v>0</v>
      </c>
      <c r="Z311" s="8">
        <v>11</v>
      </c>
      <c r="AA311" s="9">
        <f>DATEDIF(Table1[[#This Row],[DateofBirth]],"1-1-2020","y")</f>
        <v>40</v>
      </c>
      <c r="AB311" s="10" t="str" cm="1">
        <f t="array" ref="AB311">_xlfn.IFS(Table1[[#This Row],[age]]&lt; 20,"&lt;20",Table1[[#This Row],[age]]&lt; 30,"21-30",Table1[[#This Row],[age]]&lt; 40,"31-40", Table1[[#This Row],[age]]&lt; 50,"41-50",Table1[[#This Row],[age]]&lt; 60,"51-60",Table1[[#This Row],[age]]&lt;70,"60+")</f>
        <v>41-50</v>
      </c>
    </row>
    <row r="312" spans="1:28" ht="13.5" customHeight="1">
      <c r="A312" s="11" t="s">
        <v>479</v>
      </c>
      <c r="B312" s="12">
        <v>10271</v>
      </c>
      <c r="C312" s="12">
        <v>45046</v>
      </c>
      <c r="D312" s="12" t="s">
        <v>29</v>
      </c>
      <c r="E312" s="12" t="s">
        <v>30</v>
      </c>
      <c r="F312" s="12">
        <v>1730</v>
      </c>
      <c r="G312" s="13">
        <v>28719</v>
      </c>
      <c r="H312" s="12" t="s">
        <v>53</v>
      </c>
      <c r="I312" s="12" t="s">
        <v>70</v>
      </c>
      <c r="J312" s="12" t="s">
        <v>33</v>
      </c>
      <c r="K312" s="12" t="s">
        <v>34</v>
      </c>
      <c r="L312" s="12" t="s">
        <v>104</v>
      </c>
      <c r="M312" s="13">
        <v>41911</v>
      </c>
      <c r="N312" s="13">
        <v>32874</v>
      </c>
      <c r="O312" s="12" t="s">
        <v>36</v>
      </c>
      <c r="P312" s="12" t="s">
        <v>37</v>
      </c>
      <c r="Q312" s="12" t="s">
        <v>38</v>
      </c>
      <c r="R312" s="12" t="s">
        <v>83</v>
      </c>
      <c r="S312" s="12" t="s">
        <v>40</v>
      </c>
      <c r="T312" s="12" t="s">
        <v>50</v>
      </c>
      <c r="U312" s="12">
        <v>4.5</v>
      </c>
      <c r="V312" s="12">
        <v>5</v>
      </c>
      <c r="W312" s="12">
        <v>0</v>
      </c>
      <c r="X312" s="13">
        <v>43495</v>
      </c>
      <c r="Y312" s="12">
        <v>0</v>
      </c>
      <c r="Z312" s="14">
        <v>2</v>
      </c>
      <c r="AA312" s="9">
        <f>DATEDIF(Table1[[#This Row],[DateofBirth]],"1-1-2020","y")</f>
        <v>41</v>
      </c>
      <c r="AB312" s="10" t="str" cm="1">
        <f t="array" ref="AB312">_xlfn.IFS(Table1[[#This Row],[age]]&lt; 20,"&lt;20",Table1[[#This Row],[age]]&lt; 30,"21-30",Table1[[#This Row],[age]]&lt; 40,"31-40", Table1[[#This Row],[age]]&lt; 50,"41-50",Table1[[#This Row],[age]]&lt; 60,"51-60",Table1[[#This Row],[age]]&lt;70,"60+")</f>
        <v>41-50</v>
      </c>
    </row>
    <row r="313" spans="1:28" ht="13.5" customHeight="1"/>
    <row r="314" spans="1:28" ht="13.5" customHeight="1"/>
    <row r="315" spans="1:28" ht="13.5" customHeight="1"/>
    <row r="316" spans="1:28" ht="13.5" customHeight="1"/>
    <row r="317" spans="1:28" ht="13.5" customHeight="1"/>
    <row r="318" spans="1:28" ht="13.5" customHeight="1"/>
    <row r="319" spans="1:28" ht="13.5" customHeight="1"/>
    <row r="320" spans="1:28" ht="13.5" customHeight="1"/>
    <row r="321" customFormat="1" ht="13.5" customHeight="1"/>
    <row r="322" customFormat="1" ht="13.5" customHeight="1"/>
    <row r="323" customFormat="1" ht="13.5" customHeight="1"/>
    <row r="324" customFormat="1" ht="13.5" customHeight="1"/>
    <row r="325" customFormat="1" ht="13.5" customHeight="1"/>
    <row r="326" customFormat="1" ht="13.5" customHeight="1"/>
    <row r="327" customFormat="1" ht="13.5" customHeight="1"/>
    <row r="328" customFormat="1" ht="13.5" customHeight="1"/>
    <row r="329" customFormat="1" ht="13.5" customHeight="1"/>
    <row r="330" customFormat="1" ht="13.5" customHeight="1"/>
    <row r="331" customFormat="1" ht="13.5" customHeight="1"/>
    <row r="332" customFormat="1" ht="13.5" customHeight="1"/>
    <row r="333" customFormat="1" ht="13.5" customHeight="1"/>
    <row r="334" customFormat="1" ht="13.5" customHeight="1"/>
    <row r="335" customFormat="1" ht="13.5" customHeight="1"/>
    <row r="336" customFormat="1" ht="13.5" customHeight="1"/>
    <row r="337" customFormat="1" ht="13.5" customHeight="1"/>
    <row r="338" customFormat="1" ht="13.5" customHeight="1"/>
    <row r="339" customFormat="1" ht="13.5" customHeight="1"/>
    <row r="340" customFormat="1" ht="13.5" customHeight="1"/>
    <row r="341" customFormat="1" ht="13.5" customHeight="1"/>
    <row r="342" customFormat="1" ht="13.5" customHeight="1"/>
    <row r="343" customFormat="1" ht="13.5" customHeight="1"/>
    <row r="344" customFormat="1" ht="13.5" customHeight="1"/>
    <row r="345" customFormat="1" ht="13.5" customHeight="1"/>
    <row r="346" customFormat="1" ht="13.5" customHeight="1"/>
    <row r="347" customFormat="1" ht="13.5" customHeight="1"/>
    <row r="348" customFormat="1" ht="13.5" customHeight="1"/>
    <row r="349" customFormat="1" ht="13.5" customHeight="1"/>
    <row r="350" customFormat="1" ht="13.5" customHeight="1"/>
    <row r="351" customFormat="1" ht="13.5" customHeight="1"/>
    <row r="352" customFormat="1" ht="13.5" customHeight="1"/>
    <row r="353" customFormat="1" ht="13.5" customHeight="1"/>
    <row r="354" customFormat="1" ht="13.5" customHeight="1"/>
    <row r="355" customFormat="1" ht="13.5" customHeight="1"/>
    <row r="356" customFormat="1" ht="13.5" customHeight="1"/>
    <row r="357" customFormat="1" ht="13.5" customHeight="1"/>
    <row r="358" customFormat="1" ht="13.5" customHeight="1"/>
    <row r="359" customFormat="1" ht="13.5" customHeight="1"/>
    <row r="360" customFormat="1" ht="13.5" customHeight="1"/>
    <row r="361" customFormat="1" ht="13.5" customHeight="1"/>
    <row r="362" customFormat="1" ht="13.5" customHeight="1"/>
    <row r="363" customFormat="1" ht="13.5" customHeight="1"/>
    <row r="364" customFormat="1" ht="13.5" customHeight="1"/>
    <row r="365" customFormat="1" ht="13.5" customHeight="1"/>
    <row r="366" customFormat="1" ht="13.5" customHeight="1"/>
    <row r="367" customFormat="1" ht="13.5" customHeight="1"/>
    <row r="368" customFormat="1" ht="13.5" customHeight="1"/>
    <row r="369" customFormat="1" ht="13.5" customHeight="1"/>
    <row r="370" customFormat="1" ht="13.5" customHeight="1"/>
    <row r="371" customFormat="1" ht="13.5" customHeight="1"/>
    <row r="372" customFormat="1" ht="13.5" customHeight="1"/>
    <row r="373" customFormat="1" ht="13.5" customHeight="1"/>
    <row r="374" customFormat="1" ht="13.5" customHeight="1"/>
    <row r="375" customFormat="1" ht="13.5" customHeight="1"/>
    <row r="376" customFormat="1" ht="13.5" customHeight="1"/>
    <row r="377" customFormat="1" ht="13.5" customHeight="1"/>
    <row r="378" customFormat="1" ht="13.5" customHeight="1"/>
    <row r="379" customFormat="1" ht="13.5" customHeight="1"/>
    <row r="380" customFormat="1" ht="13.5" customHeight="1"/>
    <row r="381" customFormat="1" ht="13.5" customHeight="1"/>
    <row r="382" customFormat="1" ht="13.5" customHeight="1"/>
    <row r="383" customFormat="1" ht="13.5" customHeight="1"/>
    <row r="384" customFormat="1" ht="13.5" customHeight="1"/>
    <row r="385" customFormat="1" ht="13.5" customHeight="1"/>
    <row r="386" customFormat="1" ht="13.5" customHeight="1"/>
    <row r="387" customFormat="1" ht="13.5" customHeight="1"/>
    <row r="388" customFormat="1" ht="13.5" customHeight="1"/>
    <row r="389" customFormat="1" ht="13.5" customHeight="1"/>
    <row r="390" customFormat="1" ht="13.5" customHeight="1"/>
    <row r="391" customFormat="1" ht="13.5" customHeight="1"/>
    <row r="392" customFormat="1" ht="13.5" customHeight="1"/>
    <row r="393" customFormat="1" ht="13.5" customHeight="1"/>
    <row r="394" customFormat="1" ht="13.5" customHeight="1"/>
    <row r="395" customFormat="1" ht="13.5" customHeight="1"/>
    <row r="396" customFormat="1" ht="13.5" customHeight="1"/>
    <row r="397" customFormat="1" ht="13.5" customHeight="1"/>
    <row r="398" customFormat="1" ht="13.5" customHeight="1"/>
    <row r="399" customFormat="1" ht="13.5" customHeight="1"/>
    <row r="400" customFormat="1" ht="13.5" customHeight="1"/>
    <row r="401" customFormat="1" ht="13.5" customHeight="1"/>
    <row r="402" customFormat="1" ht="13.5" customHeight="1"/>
    <row r="403" customFormat="1" ht="13.5" customHeight="1"/>
    <row r="404" customFormat="1" ht="13.5" customHeight="1"/>
    <row r="405" customFormat="1" ht="13.5" customHeight="1"/>
    <row r="406" customFormat="1" ht="13.5" customHeight="1"/>
    <row r="407" customFormat="1" ht="13.5" customHeight="1"/>
    <row r="408" customFormat="1" ht="13.5" customHeight="1"/>
    <row r="409" customFormat="1" ht="13.5" customHeight="1"/>
    <row r="410" customFormat="1" ht="13.5" customHeight="1"/>
    <row r="411" customFormat="1" ht="13.5" customHeight="1"/>
    <row r="412" customFormat="1" ht="13.5" customHeight="1"/>
    <row r="413" customFormat="1" ht="13.5" customHeight="1"/>
    <row r="414" customFormat="1" ht="13.5" customHeight="1"/>
    <row r="415" customFormat="1" ht="13.5" customHeight="1"/>
    <row r="416" customFormat="1" ht="13.5" customHeight="1"/>
    <row r="417" customFormat="1" ht="13.5" customHeight="1"/>
    <row r="418" customFormat="1" ht="13.5" customHeight="1"/>
    <row r="419" customFormat="1" ht="13.5" customHeight="1"/>
    <row r="420" customFormat="1" ht="13.5" customHeight="1"/>
    <row r="421" customFormat="1" ht="13.5" customHeight="1"/>
    <row r="422" customFormat="1" ht="13.5" customHeight="1"/>
    <row r="423" customFormat="1" ht="13.5" customHeight="1"/>
    <row r="424" customFormat="1" ht="13.5" customHeight="1"/>
    <row r="425" customFormat="1" ht="13.5" customHeight="1"/>
    <row r="426" customFormat="1" ht="13.5" customHeight="1"/>
    <row r="427" customFormat="1" ht="13.5" customHeight="1"/>
    <row r="428" customFormat="1" ht="13.5" customHeight="1"/>
    <row r="429" customFormat="1" ht="13.5" customHeight="1"/>
    <row r="430" customFormat="1" ht="13.5" customHeight="1"/>
    <row r="431" customFormat="1" ht="13.5" customHeight="1"/>
    <row r="432" customFormat="1" ht="13.5" customHeight="1"/>
    <row r="433" customFormat="1" ht="13.5" customHeight="1"/>
    <row r="434" customFormat="1" ht="13.5" customHeight="1"/>
    <row r="435" customFormat="1" ht="13.5" customHeight="1"/>
    <row r="436" customFormat="1" ht="13.5" customHeight="1"/>
    <row r="437" customFormat="1" ht="13.5" customHeight="1"/>
    <row r="438" customFormat="1" ht="13.5" customHeight="1"/>
    <row r="439" customFormat="1" ht="13.5" customHeight="1"/>
    <row r="440" customFormat="1" ht="13.5" customHeight="1"/>
    <row r="441" customFormat="1" ht="13.5" customHeight="1"/>
    <row r="442" customFormat="1" ht="13.5" customHeight="1"/>
    <row r="443" customFormat="1" ht="13.5" customHeight="1"/>
    <row r="444" customFormat="1" ht="13.5" customHeight="1"/>
    <row r="445" customFormat="1" ht="13.5" customHeight="1"/>
    <row r="446" customFormat="1" ht="13.5" customHeight="1"/>
    <row r="447" customFormat="1" ht="13.5" customHeight="1"/>
    <row r="448" customFormat="1" ht="13.5" customHeight="1"/>
    <row r="449" customFormat="1" ht="13.5" customHeight="1"/>
    <row r="450" customFormat="1" ht="13.5" customHeight="1"/>
    <row r="451" customFormat="1" ht="13.5" customHeight="1"/>
    <row r="452" customFormat="1" ht="13.5" customHeight="1"/>
    <row r="453" customFormat="1" ht="13.5" customHeight="1"/>
    <row r="454" customFormat="1" ht="13.5" customHeight="1"/>
    <row r="455" customFormat="1" ht="13.5" customHeight="1"/>
    <row r="456" customFormat="1" ht="13.5" customHeight="1"/>
    <row r="457" customFormat="1" ht="13.5" customHeight="1"/>
    <row r="458" customFormat="1" ht="13.5" customHeight="1"/>
    <row r="459" customFormat="1" ht="13.5" customHeight="1"/>
    <row r="460" customFormat="1" ht="13.5" customHeight="1"/>
    <row r="461" customFormat="1" ht="13.5" customHeight="1"/>
    <row r="462" customFormat="1" ht="13.5" customHeight="1"/>
    <row r="463" customFormat="1" ht="13.5" customHeight="1"/>
    <row r="464" customFormat="1" ht="13.5" customHeight="1"/>
    <row r="465" customFormat="1" ht="13.5" customHeight="1"/>
    <row r="466" customFormat="1" ht="13.5" customHeight="1"/>
    <row r="467" customFormat="1" ht="13.5" customHeight="1"/>
    <row r="468" customFormat="1" ht="13.5" customHeight="1"/>
    <row r="469" customFormat="1" ht="13.5" customHeight="1"/>
    <row r="470" customFormat="1" ht="13.5" customHeight="1"/>
    <row r="471" customFormat="1" ht="13.5" customHeight="1"/>
    <row r="472" customFormat="1" ht="13.5" customHeight="1"/>
    <row r="473" customFormat="1" ht="13.5" customHeight="1"/>
    <row r="474" customFormat="1" ht="13.5" customHeight="1"/>
    <row r="475" customFormat="1" ht="13.5" customHeight="1"/>
    <row r="476" customFormat="1" ht="13.5" customHeight="1"/>
    <row r="477" customFormat="1" ht="13.5" customHeight="1"/>
    <row r="478" customFormat="1" ht="13.5" customHeight="1"/>
    <row r="479" customFormat="1" ht="13.5" customHeight="1"/>
    <row r="480" customFormat="1" ht="13.5" customHeight="1"/>
    <row r="481" customFormat="1" ht="13.5" customHeight="1"/>
    <row r="482" customFormat="1" ht="13.5" customHeight="1"/>
    <row r="483" customFormat="1" ht="13.5" customHeight="1"/>
    <row r="484" customFormat="1" ht="13.5" customHeight="1"/>
    <row r="485" customFormat="1" ht="13.5" customHeight="1"/>
    <row r="486" customFormat="1" ht="13.5" customHeight="1"/>
    <row r="487" customFormat="1" ht="13.5" customHeight="1"/>
    <row r="488" customFormat="1" ht="13.5" customHeight="1"/>
    <row r="489" customFormat="1" ht="13.5" customHeight="1"/>
    <row r="490" customFormat="1" ht="13.5" customHeight="1"/>
    <row r="491" customFormat="1" ht="13.5" customHeight="1"/>
    <row r="492" customFormat="1" ht="13.5" customHeight="1"/>
    <row r="493" customFormat="1" ht="13.5" customHeight="1"/>
    <row r="494" customFormat="1" ht="13.5" customHeight="1"/>
    <row r="495" customFormat="1" ht="13.5" customHeight="1"/>
    <row r="496" customFormat="1" ht="13.5" customHeight="1"/>
    <row r="497" customFormat="1" ht="13.5" customHeight="1"/>
    <row r="498" customFormat="1" ht="13.5" customHeight="1"/>
    <row r="499" customFormat="1" ht="13.5" customHeight="1"/>
    <row r="500" customFormat="1" ht="13.5" customHeight="1"/>
    <row r="501" customFormat="1" ht="13.5" customHeight="1"/>
    <row r="502" customFormat="1" ht="13.5" customHeight="1"/>
    <row r="503" customFormat="1" ht="13.5" customHeight="1"/>
    <row r="504" customFormat="1" ht="13.5" customHeight="1"/>
    <row r="505" customFormat="1" ht="13.5" customHeight="1"/>
    <row r="506" customFormat="1" ht="13.5" customHeight="1"/>
    <row r="507" customFormat="1" ht="13.5" customHeight="1"/>
    <row r="508" customFormat="1" ht="13.5" customHeight="1"/>
    <row r="509" customFormat="1" ht="13.5" customHeight="1"/>
    <row r="510" customFormat="1" ht="13.5" customHeight="1"/>
    <row r="511" customFormat="1" ht="13.5" customHeight="1"/>
    <row r="512" customFormat="1" ht="13.5" customHeight="1"/>
    <row r="513" customFormat="1" ht="13.5" customHeight="1"/>
    <row r="514" customFormat="1" ht="13.5" customHeight="1"/>
    <row r="515" customFormat="1" ht="13.5" customHeight="1"/>
    <row r="516" customFormat="1" ht="13.5" customHeight="1"/>
    <row r="517" customFormat="1" ht="13.5" customHeight="1"/>
    <row r="518" customFormat="1" ht="13.5" customHeight="1"/>
    <row r="519" customFormat="1" ht="13.5" customHeight="1"/>
    <row r="520" customFormat="1" ht="13.5" customHeight="1"/>
    <row r="521" customFormat="1" ht="13.5" customHeight="1"/>
    <row r="522" customFormat="1" ht="13.5" customHeight="1"/>
    <row r="523" customFormat="1" ht="13.5" customHeight="1"/>
    <row r="524" customFormat="1" ht="13.5" customHeight="1"/>
    <row r="525" customFormat="1" ht="13.5" customHeight="1"/>
    <row r="526" customFormat="1" ht="13.5" customHeight="1"/>
    <row r="527" customFormat="1" ht="13.5" customHeight="1"/>
    <row r="528" customFormat="1" ht="13.5" customHeight="1"/>
    <row r="529" customFormat="1" ht="13.5" customHeight="1"/>
    <row r="530" customFormat="1" ht="13.5" customHeight="1"/>
    <row r="531" customFormat="1" ht="13.5" customHeight="1"/>
    <row r="532" customFormat="1" ht="13.5" customHeight="1"/>
    <row r="533" customFormat="1" ht="13.5" customHeight="1"/>
    <row r="534" customFormat="1" ht="13.5" customHeight="1"/>
    <row r="535" customFormat="1" ht="13.5" customHeight="1"/>
    <row r="536" customFormat="1" ht="13.5" customHeight="1"/>
    <row r="537" customFormat="1" ht="13.5" customHeight="1"/>
    <row r="538" customFormat="1" ht="13.5" customHeight="1"/>
    <row r="539" customFormat="1" ht="13.5" customHeight="1"/>
    <row r="540" customFormat="1" ht="13.5" customHeight="1"/>
    <row r="541" customFormat="1" ht="13.5" customHeight="1"/>
    <row r="542" customFormat="1" ht="13.5" customHeight="1"/>
    <row r="543" customFormat="1" ht="13.5" customHeight="1"/>
    <row r="544" customFormat="1" ht="13.5" customHeight="1"/>
    <row r="545" customFormat="1" ht="13.5" customHeight="1"/>
    <row r="546" customFormat="1" ht="13.5" customHeight="1"/>
    <row r="547" customFormat="1" ht="13.5" customHeight="1"/>
    <row r="548" customFormat="1" ht="13.5" customHeight="1"/>
    <row r="549" customFormat="1" ht="13.5" customHeight="1"/>
    <row r="550" customFormat="1" ht="13.5" customHeight="1"/>
    <row r="551" customFormat="1" ht="13.5" customHeight="1"/>
    <row r="552" customFormat="1" ht="13.5" customHeight="1"/>
    <row r="553" customFormat="1" ht="13.5" customHeight="1"/>
    <row r="554" customFormat="1" ht="13.5" customHeight="1"/>
    <row r="555" customFormat="1" ht="13.5" customHeight="1"/>
    <row r="556" customFormat="1" ht="13.5" customHeight="1"/>
    <row r="557" customFormat="1" ht="13.5" customHeight="1"/>
    <row r="558" customFormat="1" ht="13.5" customHeight="1"/>
    <row r="559" customFormat="1" ht="13.5" customHeight="1"/>
    <row r="560" customFormat="1" ht="13.5" customHeight="1"/>
    <row r="561" customFormat="1" ht="13.5" customHeight="1"/>
    <row r="562" customFormat="1" ht="13.5" customHeight="1"/>
    <row r="563" customFormat="1" ht="13.5" customHeight="1"/>
    <row r="564" customFormat="1" ht="13.5" customHeight="1"/>
    <row r="565" customFormat="1" ht="13.5" customHeight="1"/>
    <row r="566" customFormat="1" ht="13.5" customHeight="1"/>
    <row r="567" customFormat="1" ht="13.5" customHeight="1"/>
    <row r="568" customFormat="1" ht="13.5" customHeight="1"/>
    <row r="569" customFormat="1" ht="13.5" customHeight="1"/>
    <row r="570" customFormat="1" ht="13.5" customHeight="1"/>
    <row r="571" customFormat="1" ht="13.5" customHeight="1"/>
    <row r="572" customFormat="1" ht="13.5" customHeight="1"/>
    <row r="573" customFormat="1" ht="13.5" customHeight="1"/>
    <row r="574" customFormat="1" ht="13.5" customHeight="1"/>
    <row r="575" customFormat="1" ht="13.5" customHeight="1"/>
    <row r="576" customFormat="1" ht="13.5" customHeight="1"/>
    <row r="577" customFormat="1" ht="13.5" customHeight="1"/>
    <row r="578" customFormat="1" ht="13.5" customHeight="1"/>
    <row r="579" customFormat="1" ht="13.5" customHeight="1"/>
    <row r="580" customFormat="1" ht="13.5" customHeight="1"/>
    <row r="581" customFormat="1" ht="13.5" customHeight="1"/>
    <row r="582" customFormat="1" ht="13.5" customHeight="1"/>
    <row r="583" customFormat="1" ht="13.5" customHeight="1"/>
    <row r="584" customFormat="1" ht="13.5" customHeight="1"/>
    <row r="585" customFormat="1" ht="13.5" customHeight="1"/>
    <row r="586" customFormat="1" ht="13.5" customHeight="1"/>
    <row r="587" customFormat="1" ht="13.5" customHeight="1"/>
    <row r="588" customFormat="1" ht="13.5" customHeight="1"/>
    <row r="589" customFormat="1" ht="13.5" customHeight="1"/>
    <row r="590" customFormat="1" ht="13.5" customHeight="1"/>
    <row r="591" customFormat="1" ht="13.5" customHeight="1"/>
    <row r="592" customFormat="1" ht="13.5" customHeight="1"/>
    <row r="593" customFormat="1" ht="13.5" customHeight="1"/>
    <row r="594" customFormat="1" ht="13.5" customHeight="1"/>
    <row r="595" customFormat="1" ht="13.5" customHeight="1"/>
    <row r="596" customFormat="1" ht="13.5" customHeight="1"/>
    <row r="597" customFormat="1" ht="13.5" customHeight="1"/>
    <row r="598" customFormat="1" ht="13.5" customHeight="1"/>
    <row r="599" customFormat="1" ht="13.5" customHeight="1"/>
    <row r="600" customFormat="1" ht="13.5" customHeight="1"/>
    <row r="601" customFormat="1" ht="13.5" customHeight="1"/>
    <row r="602" customFormat="1" ht="13.5" customHeight="1"/>
    <row r="603" customFormat="1" ht="13.5" customHeight="1"/>
    <row r="604" customFormat="1" ht="13.5" customHeight="1"/>
    <row r="605" customFormat="1" ht="13.5" customHeight="1"/>
    <row r="606" customFormat="1" ht="13.5" customHeight="1"/>
    <row r="607" customFormat="1" ht="13.5" customHeight="1"/>
    <row r="608" customFormat="1" ht="13.5" customHeight="1"/>
    <row r="609" customFormat="1" ht="13.5" customHeight="1"/>
    <row r="610" customFormat="1" ht="13.5" customHeight="1"/>
    <row r="611" customFormat="1" ht="13.5" customHeight="1"/>
    <row r="612" customFormat="1" ht="13.5" customHeight="1"/>
    <row r="613" customFormat="1" ht="13.5" customHeight="1"/>
    <row r="614" customFormat="1" ht="13.5" customHeight="1"/>
    <row r="615" customFormat="1" ht="13.5" customHeight="1"/>
    <row r="616" customFormat="1" ht="13.5" customHeight="1"/>
    <row r="617" customFormat="1" ht="13.5" customHeight="1"/>
    <row r="618" customFormat="1" ht="13.5" customHeight="1"/>
    <row r="619" customFormat="1" ht="13.5" customHeight="1"/>
    <row r="620" customFormat="1" ht="13.5" customHeight="1"/>
    <row r="621" customFormat="1" ht="13.5" customHeight="1"/>
    <row r="622" customFormat="1" ht="13.5" customHeight="1"/>
    <row r="623" customFormat="1" ht="13.5" customHeight="1"/>
    <row r="624" customFormat="1" ht="13.5" customHeight="1"/>
    <row r="625" customFormat="1" ht="13.5" customHeight="1"/>
    <row r="626" customFormat="1" ht="13.5" customHeight="1"/>
    <row r="627" customFormat="1" ht="13.5" customHeight="1"/>
    <row r="628" customFormat="1" ht="13.5" customHeight="1"/>
    <row r="629" customFormat="1" ht="13.5" customHeight="1"/>
    <row r="630" customFormat="1" ht="13.5" customHeight="1"/>
    <row r="631" customFormat="1" ht="13.5" customHeight="1"/>
    <row r="632" customFormat="1" ht="13.5" customHeight="1"/>
    <row r="633" customFormat="1" ht="13.5" customHeight="1"/>
    <row r="634" customFormat="1" ht="13.5" customHeight="1"/>
    <row r="635" customFormat="1" ht="13.5" customHeight="1"/>
    <row r="636" customFormat="1" ht="13.5" customHeight="1"/>
    <row r="637" customFormat="1" ht="13.5" customHeight="1"/>
    <row r="638" customFormat="1" ht="13.5" customHeight="1"/>
    <row r="639" customFormat="1" ht="13.5" customHeight="1"/>
    <row r="640" customFormat="1" ht="13.5" customHeight="1"/>
    <row r="641" customFormat="1" ht="13.5" customHeight="1"/>
    <row r="642" customFormat="1" ht="13.5" customHeight="1"/>
    <row r="643" customFormat="1" ht="13.5" customHeight="1"/>
    <row r="644" customFormat="1" ht="13.5" customHeight="1"/>
    <row r="645" customFormat="1" ht="13.5" customHeight="1"/>
    <row r="646" customFormat="1" ht="13.5" customHeight="1"/>
    <row r="647" customFormat="1" ht="13.5" customHeight="1"/>
    <row r="648" customFormat="1" ht="13.5" customHeight="1"/>
    <row r="649" customFormat="1" ht="13.5" customHeight="1"/>
    <row r="650" customFormat="1" ht="13.5" customHeight="1"/>
    <row r="651" customFormat="1" ht="13.5" customHeight="1"/>
    <row r="652" customFormat="1" ht="13.5" customHeight="1"/>
    <row r="653" customFormat="1" ht="13.5" customHeight="1"/>
    <row r="654" customFormat="1" ht="13.5" customHeight="1"/>
    <row r="655" customFormat="1" ht="13.5" customHeight="1"/>
    <row r="656" customFormat="1" ht="13.5" customHeight="1"/>
    <row r="657" customFormat="1" ht="13.5" customHeight="1"/>
    <row r="658" customFormat="1" ht="13.5" customHeight="1"/>
    <row r="659" customFormat="1" ht="13.5" customHeight="1"/>
    <row r="660" customFormat="1" ht="13.5" customHeight="1"/>
    <row r="661" customFormat="1" ht="13.5" customHeight="1"/>
    <row r="662" customFormat="1" ht="13.5" customHeight="1"/>
    <row r="663" customFormat="1" ht="13.5" customHeight="1"/>
    <row r="664" customFormat="1" ht="13.5" customHeight="1"/>
    <row r="665" customFormat="1" ht="13.5" customHeight="1"/>
    <row r="666" customFormat="1" ht="13.5" customHeight="1"/>
    <row r="667" customFormat="1" ht="13.5" customHeight="1"/>
    <row r="668" customFormat="1" ht="13.5" customHeight="1"/>
    <row r="669" customFormat="1" ht="13.5" customHeight="1"/>
    <row r="670" customFormat="1" ht="13.5" customHeight="1"/>
    <row r="671" customFormat="1" ht="13.5" customHeight="1"/>
    <row r="672" customFormat="1" ht="13.5" customHeight="1"/>
    <row r="673" customFormat="1" ht="13.5" customHeight="1"/>
    <row r="674" customFormat="1" ht="13.5" customHeight="1"/>
    <row r="675" customFormat="1" ht="13.5" customHeight="1"/>
    <row r="676" customFormat="1" ht="13.5" customHeight="1"/>
    <row r="677" customFormat="1" ht="13.5" customHeight="1"/>
    <row r="678" customFormat="1" ht="13.5" customHeight="1"/>
    <row r="679" customFormat="1" ht="13.5" customHeight="1"/>
    <row r="680" customFormat="1" ht="13.5" customHeight="1"/>
    <row r="681" customFormat="1" ht="13.5" customHeight="1"/>
    <row r="682" customFormat="1" ht="13.5" customHeight="1"/>
    <row r="683" customFormat="1" ht="13.5" customHeight="1"/>
    <row r="684" customFormat="1" ht="13.5" customHeight="1"/>
    <row r="685" customFormat="1" ht="13.5" customHeight="1"/>
    <row r="686" customFormat="1" ht="13.5" customHeight="1"/>
    <row r="687" customFormat="1" ht="13.5" customHeight="1"/>
    <row r="688" customFormat="1" ht="13.5" customHeight="1"/>
    <row r="689" customFormat="1" ht="13.5" customHeight="1"/>
    <row r="690" customFormat="1" ht="13.5" customHeight="1"/>
    <row r="691" customFormat="1" ht="13.5" customHeight="1"/>
    <row r="692" customFormat="1" ht="13.5" customHeight="1"/>
    <row r="693" customFormat="1" ht="13.5" customHeight="1"/>
    <row r="694" customFormat="1" ht="13.5" customHeight="1"/>
    <row r="695" customFormat="1" ht="13.5" customHeight="1"/>
    <row r="696" customFormat="1" ht="13.5" customHeight="1"/>
    <row r="697" customFormat="1" ht="13.5" customHeight="1"/>
    <row r="698" customFormat="1" ht="13.5" customHeight="1"/>
    <row r="699" customFormat="1" ht="13.5" customHeight="1"/>
    <row r="700" customFormat="1" ht="13.5" customHeight="1"/>
    <row r="701" customFormat="1" ht="13.5" customHeight="1"/>
    <row r="702" customFormat="1" ht="13.5" customHeight="1"/>
    <row r="703" customFormat="1" ht="13.5" customHeight="1"/>
    <row r="704" customFormat="1" ht="13.5" customHeight="1"/>
    <row r="705" customFormat="1" ht="13.5" customHeight="1"/>
    <row r="706" customFormat="1" ht="13.5" customHeight="1"/>
    <row r="707" customFormat="1" ht="13.5" customHeight="1"/>
    <row r="708" customFormat="1" ht="13.5" customHeight="1"/>
    <row r="709" customFormat="1" ht="13.5" customHeight="1"/>
    <row r="710" customFormat="1" ht="13.5" customHeight="1"/>
    <row r="711" customFormat="1" ht="13.5" customHeight="1"/>
    <row r="712" customFormat="1" ht="13.5" customHeight="1"/>
    <row r="713" customFormat="1" ht="13.5" customHeight="1"/>
    <row r="714" customFormat="1" ht="13.5" customHeight="1"/>
    <row r="715" customFormat="1" ht="13.5" customHeight="1"/>
    <row r="716" customFormat="1" ht="13.5" customHeight="1"/>
    <row r="717" customFormat="1" ht="13.5" customHeight="1"/>
    <row r="718" customFormat="1" ht="13.5" customHeight="1"/>
    <row r="719" customFormat="1" ht="13.5" customHeight="1"/>
    <row r="720" customFormat="1" ht="13.5" customHeight="1"/>
    <row r="721" customFormat="1" ht="13.5" customHeight="1"/>
    <row r="722" customFormat="1" ht="13.5" customHeight="1"/>
    <row r="723" customFormat="1" ht="13.5" customHeight="1"/>
    <row r="724" customFormat="1" ht="13.5" customHeight="1"/>
    <row r="725" customFormat="1" ht="13.5" customHeight="1"/>
    <row r="726" customFormat="1" ht="13.5" customHeight="1"/>
    <row r="727" customFormat="1" ht="13.5" customHeight="1"/>
    <row r="728" customFormat="1" ht="13.5" customHeight="1"/>
    <row r="729" customFormat="1" ht="13.5" customHeight="1"/>
    <row r="730" customFormat="1" ht="13.5" customHeight="1"/>
    <row r="731" customFormat="1" ht="13.5" customHeight="1"/>
    <row r="732" customFormat="1" ht="13.5" customHeight="1"/>
    <row r="733" customFormat="1" ht="13.5" customHeight="1"/>
    <row r="734" customFormat="1" ht="13.5" customHeight="1"/>
    <row r="735" customFormat="1" ht="13.5" customHeight="1"/>
    <row r="736" customFormat="1" ht="13.5" customHeight="1"/>
    <row r="737" customFormat="1" ht="13.5" customHeight="1"/>
    <row r="738" customFormat="1" ht="13.5" customHeight="1"/>
    <row r="739" customFormat="1" ht="13.5" customHeight="1"/>
    <row r="740" customFormat="1" ht="13.5" customHeight="1"/>
    <row r="741" customFormat="1" ht="13.5" customHeight="1"/>
    <row r="742" customFormat="1" ht="13.5" customHeight="1"/>
    <row r="743" customFormat="1" ht="13.5" customHeight="1"/>
    <row r="744" customFormat="1" ht="13.5" customHeight="1"/>
    <row r="745" customFormat="1" ht="13.5" customHeight="1"/>
    <row r="746" customFormat="1" ht="13.5" customHeight="1"/>
    <row r="747" customFormat="1" ht="13.5" customHeight="1"/>
    <row r="748" customFormat="1" ht="13.5" customHeight="1"/>
    <row r="749" customFormat="1" ht="13.5" customHeight="1"/>
    <row r="750" customFormat="1" ht="13.5" customHeight="1"/>
    <row r="751" customFormat="1" ht="13.5" customHeight="1"/>
    <row r="752" customFormat="1" ht="13.5" customHeight="1"/>
    <row r="753" customFormat="1" ht="13.5" customHeight="1"/>
    <row r="754" customFormat="1" ht="13.5" customHeight="1"/>
    <row r="755" customFormat="1" ht="13.5" customHeight="1"/>
    <row r="756" customFormat="1" ht="13.5" customHeight="1"/>
    <row r="757" customFormat="1" ht="13.5" customHeight="1"/>
    <row r="758" customFormat="1" ht="13.5" customHeight="1"/>
    <row r="759" customFormat="1" ht="13.5" customHeight="1"/>
    <row r="760" customFormat="1" ht="13.5" customHeight="1"/>
    <row r="761" customFormat="1" ht="13.5" customHeight="1"/>
    <row r="762" customFormat="1" ht="13.5" customHeight="1"/>
    <row r="763" customFormat="1" ht="13.5" customHeight="1"/>
    <row r="764" customFormat="1" ht="13.5" customHeight="1"/>
    <row r="765" customFormat="1" ht="13.5" customHeight="1"/>
    <row r="766" customFormat="1" ht="13.5" customHeight="1"/>
    <row r="767" customFormat="1" ht="13.5" customHeight="1"/>
    <row r="768" customFormat="1" ht="13.5" customHeight="1"/>
    <row r="769" customFormat="1" ht="13.5" customHeight="1"/>
    <row r="770" customFormat="1" ht="13.5" customHeight="1"/>
    <row r="771" customFormat="1" ht="13.5" customHeight="1"/>
    <row r="772" customFormat="1" ht="13.5" customHeight="1"/>
    <row r="773" customFormat="1" ht="13.5" customHeight="1"/>
    <row r="774" customFormat="1" ht="13.5" customHeight="1"/>
    <row r="775" customFormat="1" ht="13.5" customHeight="1"/>
    <row r="776" customFormat="1" ht="13.5" customHeight="1"/>
    <row r="777" customFormat="1" ht="13.5" customHeight="1"/>
    <row r="778" customFormat="1" ht="13.5" customHeight="1"/>
    <row r="779" customFormat="1" ht="13.5" customHeight="1"/>
    <row r="780" customFormat="1" ht="13.5" customHeight="1"/>
    <row r="781" customFormat="1" ht="13.5" customHeight="1"/>
    <row r="782" customFormat="1" ht="13.5" customHeight="1"/>
    <row r="783" customFormat="1" ht="13.5" customHeight="1"/>
    <row r="784" customFormat="1" ht="13.5" customHeight="1"/>
    <row r="785" customFormat="1" ht="13.5" customHeight="1"/>
    <row r="786" customFormat="1" ht="13.5" customHeight="1"/>
    <row r="787" customFormat="1" ht="13.5" customHeight="1"/>
    <row r="788" customFormat="1" ht="13.5" customHeight="1"/>
    <row r="789" customFormat="1" ht="13.5" customHeight="1"/>
    <row r="790" customFormat="1" ht="13.5" customHeight="1"/>
    <row r="791" customFormat="1" ht="13.5" customHeight="1"/>
    <row r="792" customFormat="1" ht="13.5" customHeight="1"/>
    <row r="793" customFormat="1" ht="13.5" customHeight="1"/>
    <row r="794" customFormat="1" ht="13.5" customHeight="1"/>
    <row r="795" customFormat="1" ht="13.5" customHeight="1"/>
    <row r="796" customFormat="1" ht="13.5" customHeight="1"/>
    <row r="797" customFormat="1" ht="13.5" customHeight="1"/>
    <row r="798" customFormat="1" ht="13.5" customHeight="1"/>
    <row r="799" customFormat="1" ht="13.5" customHeight="1"/>
    <row r="800" customFormat="1" ht="13.5" customHeight="1"/>
    <row r="801" customFormat="1" ht="13.5" customHeight="1"/>
    <row r="802" customFormat="1" ht="13.5" customHeight="1"/>
    <row r="803" customFormat="1" ht="13.5" customHeight="1"/>
    <row r="804" customFormat="1" ht="13.5" customHeight="1"/>
    <row r="805" customFormat="1" ht="13.5" customHeight="1"/>
    <row r="806" customFormat="1" ht="13.5" customHeight="1"/>
    <row r="807" customFormat="1" ht="13.5" customHeight="1"/>
    <row r="808" customFormat="1" ht="13.5" customHeight="1"/>
    <row r="809" customFormat="1" ht="13.5" customHeight="1"/>
    <row r="810" customFormat="1" ht="13.5" customHeight="1"/>
    <row r="811" customFormat="1" ht="13.5" customHeight="1"/>
    <row r="812" customFormat="1" ht="13.5" customHeight="1"/>
    <row r="813" customFormat="1" ht="13.5" customHeight="1"/>
    <row r="814" customFormat="1" ht="13.5" customHeight="1"/>
    <row r="815" customFormat="1" ht="13.5" customHeight="1"/>
    <row r="816" customFormat="1" ht="13.5" customHeight="1"/>
    <row r="817" customFormat="1" ht="13.5" customHeight="1"/>
    <row r="818" customFormat="1" ht="13.5" customHeight="1"/>
    <row r="819" customFormat="1" ht="13.5" customHeight="1"/>
    <row r="820" customFormat="1" ht="13.5" customHeight="1"/>
    <row r="821" customFormat="1" ht="13.5" customHeight="1"/>
    <row r="822" customFormat="1" ht="13.5" customHeight="1"/>
    <row r="823" customFormat="1" ht="13.5" customHeight="1"/>
    <row r="824" customFormat="1" ht="13.5" customHeight="1"/>
    <row r="825" customFormat="1" ht="13.5" customHeight="1"/>
    <row r="826" customFormat="1" ht="13.5" customHeight="1"/>
    <row r="827" customFormat="1" ht="13.5" customHeight="1"/>
    <row r="828" customFormat="1" ht="13.5" customHeight="1"/>
    <row r="829" customFormat="1" ht="13.5" customHeight="1"/>
    <row r="830" customFormat="1" ht="13.5" customHeight="1"/>
    <row r="831" customFormat="1" ht="13.5" customHeight="1"/>
    <row r="832" customFormat="1" ht="13.5" customHeight="1"/>
    <row r="833" customFormat="1" ht="13.5" customHeight="1"/>
    <row r="834" customFormat="1" ht="13.5" customHeight="1"/>
    <row r="835" customFormat="1" ht="13.5" customHeight="1"/>
    <row r="836" customFormat="1" ht="13.5" customHeight="1"/>
    <row r="837" customFormat="1" ht="13.5" customHeight="1"/>
    <row r="838" customFormat="1" ht="13.5" customHeight="1"/>
    <row r="839" customFormat="1" ht="13.5" customHeight="1"/>
    <row r="840" customFormat="1" ht="13.5" customHeight="1"/>
    <row r="841" customFormat="1" ht="13.5" customHeight="1"/>
    <row r="842" customFormat="1" ht="13.5" customHeight="1"/>
    <row r="843" customFormat="1" ht="13.5" customHeight="1"/>
    <row r="844" customFormat="1" ht="13.5" customHeight="1"/>
    <row r="845" customFormat="1" ht="13.5" customHeight="1"/>
    <row r="846" customFormat="1" ht="13.5" customHeight="1"/>
    <row r="847" customFormat="1" ht="13.5" customHeight="1"/>
    <row r="848" customFormat="1" ht="13.5" customHeight="1"/>
    <row r="849" customFormat="1" ht="13.5" customHeight="1"/>
    <row r="850" customFormat="1" ht="13.5" customHeight="1"/>
    <row r="851" customFormat="1" ht="13.5" customHeight="1"/>
    <row r="852" customFormat="1" ht="13.5" customHeight="1"/>
    <row r="853" customFormat="1" ht="13.5" customHeight="1"/>
    <row r="854" customFormat="1" ht="13.5" customHeight="1"/>
    <row r="855" customFormat="1" ht="13.5" customHeight="1"/>
    <row r="856" customFormat="1" ht="13.5" customHeight="1"/>
    <row r="857" customFormat="1" ht="13.5" customHeight="1"/>
    <row r="858" customFormat="1" ht="13.5" customHeight="1"/>
    <row r="859" customFormat="1" ht="13.5" customHeight="1"/>
    <row r="860" customFormat="1" ht="13.5" customHeight="1"/>
    <row r="861" customFormat="1" ht="13.5" customHeight="1"/>
    <row r="862" customFormat="1" ht="13.5" customHeight="1"/>
    <row r="863" customFormat="1" ht="13.5" customHeight="1"/>
    <row r="864" customFormat="1" ht="13.5" customHeight="1"/>
    <row r="865" customFormat="1" ht="13.5" customHeight="1"/>
    <row r="866" customFormat="1" ht="13.5" customHeight="1"/>
    <row r="867" customFormat="1" ht="13.5" customHeight="1"/>
    <row r="868" customFormat="1" ht="13.5" customHeight="1"/>
    <row r="869" customFormat="1" ht="13.5" customHeight="1"/>
    <row r="870" customFormat="1" ht="13.5" customHeight="1"/>
    <row r="871" customFormat="1" ht="13.5" customHeight="1"/>
    <row r="872" customFormat="1" ht="13.5" customHeight="1"/>
    <row r="873" customFormat="1" ht="13.5" customHeight="1"/>
    <row r="874" customFormat="1" ht="13.5" customHeight="1"/>
    <row r="875" customFormat="1" ht="13.5" customHeight="1"/>
    <row r="876" customFormat="1" ht="13.5" customHeight="1"/>
    <row r="877" customFormat="1" ht="13.5" customHeight="1"/>
    <row r="878" customFormat="1" ht="13.5" customHeight="1"/>
    <row r="879" customFormat="1" ht="13.5" customHeight="1"/>
    <row r="880" customFormat="1" ht="13.5" customHeight="1"/>
    <row r="881" customFormat="1" ht="13.5" customHeight="1"/>
    <row r="882" customFormat="1" ht="13.5" customHeight="1"/>
    <row r="883" customFormat="1" ht="13.5" customHeight="1"/>
    <row r="884" customFormat="1" ht="13.5" customHeight="1"/>
    <row r="885" customFormat="1" ht="13.5" customHeight="1"/>
    <row r="886" customFormat="1" ht="13.5" customHeight="1"/>
    <row r="887" customFormat="1" ht="13.5" customHeight="1"/>
    <row r="888" customFormat="1" ht="13.5" customHeight="1"/>
    <row r="889" customFormat="1" ht="13.5" customHeight="1"/>
    <row r="890" customFormat="1" ht="13.5" customHeight="1"/>
    <row r="891" customFormat="1" ht="13.5" customHeight="1"/>
    <row r="892" customFormat="1" ht="13.5" customHeight="1"/>
    <row r="893" customFormat="1" ht="13.5" customHeight="1"/>
    <row r="894" customFormat="1" ht="13.5" customHeight="1"/>
    <row r="895" customFormat="1" ht="13.5" customHeight="1"/>
    <row r="896" customFormat="1" ht="13.5" customHeight="1"/>
    <row r="897" customFormat="1" ht="13.5" customHeight="1"/>
    <row r="898" customFormat="1" ht="13.5" customHeight="1"/>
    <row r="899" customFormat="1" ht="13.5" customHeight="1"/>
    <row r="900" customFormat="1" ht="13.5" customHeight="1"/>
    <row r="901" customFormat="1" ht="13.5" customHeight="1"/>
    <row r="902" customFormat="1" ht="13.5" customHeight="1"/>
    <row r="903" customFormat="1" ht="13.5" customHeight="1"/>
    <row r="904" customFormat="1" ht="13.5" customHeight="1"/>
    <row r="905" customFormat="1" ht="13.5" customHeight="1"/>
    <row r="906" customFormat="1" ht="13.5" customHeight="1"/>
    <row r="907" customFormat="1" ht="13.5" customHeight="1"/>
    <row r="908" customFormat="1" ht="13.5" customHeight="1"/>
    <row r="909" customFormat="1" ht="13.5" customHeight="1"/>
    <row r="910" customFormat="1" ht="13.5" customHeight="1"/>
    <row r="911" customFormat="1" ht="13.5" customHeight="1"/>
    <row r="912" customFormat="1" ht="13.5" customHeight="1"/>
    <row r="913" customFormat="1" ht="13.5" customHeight="1"/>
    <row r="914" customFormat="1" ht="13.5" customHeight="1"/>
    <row r="915" customFormat="1" ht="13.5" customHeight="1"/>
    <row r="916" customFormat="1" ht="13.5" customHeight="1"/>
    <row r="917" customFormat="1" ht="13.5" customHeight="1"/>
    <row r="918" customFormat="1" ht="13.5" customHeight="1"/>
    <row r="919" customFormat="1" ht="13.5" customHeight="1"/>
    <row r="920" customFormat="1" ht="13.5" customHeight="1"/>
    <row r="921" customFormat="1" ht="13.5" customHeight="1"/>
    <row r="922" customFormat="1" ht="13.5" customHeight="1"/>
    <row r="923" customFormat="1" ht="13.5" customHeight="1"/>
    <row r="924" customFormat="1" ht="13.5" customHeight="1"/>
    <row r="925" customFormat="1" ht="13.5" customHeight="1"/>
    <row r="926" customFormat="1" ht="13.5" customHeight="1"/>
    <row r="927" customFormat="1" ht="13.5" customHeight="1"/>
    <row r="928" customFormat="1" ht="13.5" customHeight="1"/>
    <row r="929" customFormat="1" ht="13.5" customHeight="1"/>
    <row r="930" customFormat="1" ht="13.5" customHeight="1"/>
    <row r="931" customFormat="1" ht="13.5" customHeight="1"/>
    <row r="932" customFormat="1" ht="13.5" customHeight="1"/>
    <row r="933" customFormat="1" ht="13.5" customHeight="1"/>
    <row r="934" customFormat="1" ht="13.5" customHeight="1"/>
    <row r="935" customFormat="1" ht="13.5" customHeight="1"/>
    <row r="936" customFormat="1" ht="13.5" customHeight="1"/>
    <row r="937" customFormat="1" ht="13.5" customHeight="1"/>
    <row r="938" customFormat="1" ht="13.5" customHeight="1"/>
    <row r="939" customFormat="1" ht="13.5" customHeight="1"/>
    <row r="940" customFormat="1" ht="13.5" customHeight="1"/>
    <row r="941" customFormat="1" ht="13.5" customHeight="1"/>
    <row r="942" customFormat="1" ht="13.5" customHeight="1"/>
    <row r="943" customFormat="1" ht="13.5" customHeight="1"/>
    <row r="944" customFormat="1" ht="13.5" customHeight="1"/>
    <row r="945" customFormat="1" ht="13.5" customHeight="1"/>
    <row r="946" customFormat="1" ht="13.5" customHeight="1"/>
    <row r="947" customFormat="1" ht="13.5" customHeight="1"/>
    <row r="948" customFormat="1" ht="13.5" customHeight="1"/>
    <row r="949" customFormat="1" ht="13.5" customHeight="1"/>
    <row r="950" customFormat="1" ht="13.5" customHeight="1"/>
    <row r="951" customFormat="1" ht="13.5" customHeight="1"/>
    <row r="952" customFormat="1" ht="13.5" customHeight="1"/>
    <row r="953" customFormat="1" ht="13.5" customHeight="1"/>
    <row r="954" customFormat="1" ht="13.5" customHeight="1"/>
    <row r="955" customFormat="1" ht="13.5" customHeight="1"/>
    <row r="956" customFormat="1" ht="13.5" customHeight="1"/>
    <row r="957" customFormat="1" ht="13.5" customHeight="1"/>
    <row r="958" customFormat="1" ht="13.5" customHeight="1"/>
    <row r="959" customFormat="1" ht="13.5" customHeight="1"/>
    <row r="960" customFormat="1" ht="13.5" customHeight="1"/>
    <row r="961" customFormat="1" ht="13.5" customHeight="1"/>
    <row r="962" customFormat="1" ht="13.5" customHeight="1"/>
    <row r="963" customFormat="1" ht="13.5" customHeight="1"/>
    <row r="964" customFormat="1" ht="13.5" customHeight="1"/>
    <row r="965" customFormat="1" ht="13.5" customHeight="1"/>
    <row r="966" customFormat="1" ht="13.5" customHeight="1"/>
    <row r="967" customFormat="1" ht="13.5" customHeight="1"/>
    <row r="968" customFormat="1" ht="13.5" customHeight="1"/>
    <row r="969" customFormat="1" ht="13.5" customHeight="1"/>
    <row r="970" customFormat="1" ht="13.5" customHeight="1"/>
    <row r="971" customFormat="1" ht="13.5" customHeight="1"/>
    <row r="972" customFormat="1" ht="13.5" customHeight="1"/>
    <row r="973" customFormat="1" ht="13.5" customHeight="1"/>
    <row r="974" customFormat="1" ht="13.5" customHeight="1"/>
    <row r="975" customFormat="1" ht="13.5" customHeight="1"/>
    <row r="976" customFormat="1" ht="13.5" customHeight="1"/>
    <row r="977" customFormat="1" ht="13.5" customHeight="1"/>
    <row r="978" customFormat="1" ht="13.5" customHeight="1"/>
    <row r="979" customFormat="1" ht="13.5" customHeight="1"/>
    <row r="980" customFormat="1" ht="13.5" customHeight="1"/>
    <row r="981" customFormat="1" ht="13.5" customHeight="1"/>
    <row r="982" customFormat="1" ht="13.5" customHeight="1"/>
    <row r="983" customFormat="1" ht="13.5" customHeight="1"/>
    <row r="984" customFormat="1" ht="13.5" customHeight="1"/>
    <row r="985" customFormat="1" ht="13.5" customHeight="1"/>
    <row r="986" customFormat="1" ht="13.5" customHeight="1"/>
    <row r="987" customFormat="1" ht="13.5" customHeight="1"/>
    <row r="988" customFormat="1" ht="13.5" customHeight="1"/>
    <row r="989" customFormat="1" ht="13.5" customHeight="1"/>
    <row r="990" customFormat="1" ht="13.5" customHeight="1"/>
    <row r="991" customFormat="1" ht="13.5" customHeight="1"/>
    <row r="992" customFormat="1" ht="13.5" customHeight="1"/>
    <row r="993" customFormat="1" ht="13.5" customHeight="1"/>
    <row r="994" customFormat="1" ht="13.5" customHeight="1"/>
    <row r="995" customFormat="1" ht="13.5" customHeight="1"/>
    <row r="996" customFormat="1" ht="13.5" customHeight="1"/>
    <row r="997" customFormat="1" ht="13.5" customHeight="1"/>
    <row r="998" customFormat="1" ht="13.5" customHeight="1"/>
    <row r="999" customFormat="1" ht="13.5" customHeight="1"/>
    <row r="1000" customFormat="1" ht="13.5" customHeight="1"/>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7E734-4F4B-4461-94E2-1C8A6BB9841C}">
  <sheetPr codeName="Sheet2"/>
  <dimension ref="A1:G86"/>
  <sheetViews>
    <sheetView topLeftCell="A82" zoomScaleNormal="100" workbookViewId="0">
      <selection activeCell="G50" sqref="G50"/>
    </sheetView>
  </sheetViews>
  <sheetFormatPr defaultRowHeight="13.8"/>
  <cols>
    <col min="1" max="1" width="12.5" customWidth="1"/>
    <col min="2" max="2" width="23.3984375" customWidth="1"/>
    <col min="3" max="3" width="24" customWidth="1"/>
    <col min="4" max="4" width="13.09765625" bestFit="1" customWidth="1"/>
    <col min="5" max="5" width="24.09765625" bestFit="1" customWidth="1"/>
    <col min="6" max="7" width="23.3984375" customWidth="1"/>
    <col min="8" max="8" width="3.3984375" customWidth="1"/>
    <col min="9" max="9" width="2.796875" bestFit="1" customWidth="1"/>
    <col min="10" max="10" width="2.5" bestFit="1" customWidth="1"/>
    <col min="11" max="11" width="3.09765625" bestFit="1" customWidth="1"/>
    <col min="12" max="12" width="2.5" bestFit="1" customWidth="1"/>
    <col min="13" max="13" width="2.59765625" bestFit="1" customWidth="1"/>
    <col min="14" max="14" width="2.796875" bestFit="1" customWidth="1"/>
    <col min="15" max="15" width="3.59765625" bestFit="1" customWidth="1"/>
    <col min="16" max="17" width="3.3984375" bestFit="1" customWidth="1"/>
    <col min="18" max="18" width="3.09765625" bestFit="1" customWidth="1"/>
    <col min="19" max="21" width="3.19921875" bestFit="1" customWidth="1"/>
    <col min="22" max="22" width="3" bestFit="1" customWidth="1"/>
    <col min="23" max="23" width="3.19921875" bestFit="1" customWidth="1"/>
    <col min="24" max="24" width="3.09765625" bestFit="1" customWidth="1"/>
    <col min="25" max="25" width="3" bestFit="1" customWidth="1"/>
    <col min="26" max="26" width="2.3984375" bestFit="1" customWidth="1"/>
    <col min="27" max="27" width="3" bestFit="1" customWidth="1"/>
    <col min="28" max="28" width="2.796875" bestFit="1" customWidth="1"/>
    <col min="29" max="29" width="3" bestFit="1" customWidth="1"/>
    <col min="30" max="30" width="3.09765625" bestFit="1" customWidth="1"/>
    <col min="31" max="31" width="2.8984375" bestFit="1" customWidth="1"/>
    <col min="32" max="32" width="3.59765625" bestFit="1" customWidth="1"/>
    <col min="33" max="33" width="9.69921875" bestFit="1" customWidth="1"/>
    <col min="34" max="34" width="13.3984375" bestFit="1" customWidth="1"/>
    <col min="35" max="35" width="10.3984375" bestFit="1" customWidth="1"/>
    <col min="36" max="36" width="15.09765625" bestFit="1" customWidth="1"/>
    <col min="37" max="37" width="9.296875" bestFit="1" customWidth="1"/>
    <col min="38" max="38" width="11.59765625" bestFit="1" customWidth="1"/>
    <col min="39" max="39" width="13.296875" bestFit="1" customWidth="1"/>
    <col min="40" max="40" width="13" bestFit="1" customWidth="1"/>
    <col min="41" max="41" width="12.59765625" bestFit="1" customWidth="1"/>
    <col min="42" max="42" width="13.296875" bestFit="1" customWidth="1"/>
    <col min="43" max="43" width="11.09765625" bestFit="1" customWidth="1"/>
    <col min="44" max="44" width="13" bestFit="1" customWidth="1"/>
    <col min="45" max="45" width="15.296875" bestFit="1" customWidth="1"/>
    <col min="46" max="46" width="7.8984375" bestFit="1" customWidth="1"/>
    <col min="47" max="47" width="15.296875" bestFit="1" customWidth="1"/>
    <col min="48" max="48" width="12.5" bestFit="1" customWidth="1"/>
    <col min="49" max="49" width="13.59765625" bestFit="1" customWidth="1"/>
    <col min="50" max="50" width="18.8984375" bestFit="1" customWidth="1"/>
    <col min="51" max="51" width="10.69921875" bestFit="1" customWidth="1"/>
    <col min="52" max="52" width="15.09765625" bestFit="1" customWidth="1"/>
    <col min="53" max="53" width="8.59765625" bestFit="1" customWidth="1"/>
    <col min="54" max="55" width="11.3984375" bestFit="1" customWidth="1"/>
    <col min="56" max="56" width="11.19921875" bestFit="1" customWidth="1"/>
    <col min="57" max="57" width="14.69921875" bestFit="1" customWidth="1"/>
    <col min="58" max="58" width="11.796875" bestFit="1" customWidth="1"/>
    <col min="59" max="59" width="10.69921875" bestFit="1" customWidth="1"/>
    <col min="60" max="60" width="12.09765625" bestFit="1" customWidth="1"/>
    <col min="61" max="61" width="14.09765625" bestFit="1" customWidth="1"/>
    <col min="62" max="62" width="9.8984375" bestFit="1" customWidth="1"/>
    <col min="63" max="63" width="12.3984375" bestFit="1" customWidth="1"/>
    <col min="64" max="64" width="11.296875" bestFit="1" customWidth="1"/>
    <col min="65" max="65" width="13.19921875" bestFit="1" customWidth="1"/>
    <col min="66" max="66" width="10.5" bestFit="1" customWidth="1"/>
    <col min="67" max="67" width="9.5" bestFit="1" customWidth="1"/>
    <col min="68" max="68" width="13.8984375" bestFit="1" customWidth="1"/>
    <col min="69" max="69" width="14.3984375" bestFit="1" customWidth="1"/>
    <col min="70" max="70" width="10.69921875" bestFit="1" customWidth="1"/>
    <col min="71" max="71" width="11" bestFit="1" customWidth="1"/>
    <col min="72" max="72" width="12.69921875" bestFit="1" customWidth="1"/>
    <col min="73" max="73" width="12.796875" bestFit="1" customWidth="1"/>
    <col min="74" max="74" width="13.796875" bestFit="1" customWidth="1"/>
    <col min="75" max="75" width="12.8984375" bestFit="1" customWidth="1"/>
    <col min="76" max="76" width="11" bestFit="1" customWidth="1"/>
    <col min="77" max="77" width="13.69921875" bestFit="1" customWidth="1"/>
    <col min="78" max="78" width="10.296875" bestFit="1" customWidth="1"/>
    <col min="79" max="79" width="10.19921875" bestFit="1" customWidth="1"/>
    <col min="80" max="80" width="8.8984375" bestFit="1" customWidth="1"/>
    <col min="81" max="81" width="10.19921875" bestFit="1" customWidth="1"/>
    <col min="82" max="82" width="10.296875" bestFit="1" customWidth="1"/>
    <col min="83" max="83" width="13.59765625" bestFit="1" customWidth="1"/>
    <col min="84" max="84" width="11.296875" bestFit="1" customWidth="1"/>
    <col min="85" max="85" width="10.59765625" bestFit="1" customWidth="1"/>
    <col min="86" max="86" width="11" bestFit="1" customWidth="1"/>
    <col min="87" max="87" width="14.69921875" bestFit="1" customWidth="1"/>
    <col min="88" max="88" width="11.59765625" bestFit="1" customWidth="1"/>
    <col min="89" max="89" width="12.296875" bestFit="1" customWidth="1"/>
    <col min="90" max="90" width="11.5" bestFit="1" customWidth="1"/>
    <col min="91" max="91" width="12.19921875" bestFit="1" customWidth="1"/>
    <col min="92" max="92" width="13.296875" bestFit="1" customWidth="1"/>
    <col min="93" max="93" width="15.19921875" bestFit="1" customWidth="1"/>
    <col min="94" max="94" width="8.59765625" bestFit="1" customWidth="1"/>
    <col min="95" max="95" width="11.09765625" bestFit="1" customWidth="1"/>
    <col min="96" max="96" width="17.09765625" bestFit="1" customWidth="1"/>
    <col min="97" max="97" width="13.19921875" bestFit="1" customWidth="1"/>
    <col min="98" max="98" width="10.19921875" bestFit="1" customWidth="1"/>
    <col min="99" max="99" width="9.19921875" bestFit="1" customWidth="1"/>
    <col min="100" max="100" width="14.8984375" bestFit="1" customWidth="1"/>
    <col min="101" max="101" width="11.796875" bestFit="1" customWidth="1"/>
    <col min="102" max="102" width="8.296875" bestFit="1" customWidth="1"/>
    <col min="103" max="103" width="9.796875" bestFit="1" customWidth="1"/>
    <col min="104" max="104" width="11.09765625" bestFit="1" customWidth="1"/>
    <col min="105" max="105" width="12.8984375" bestFit="1" customWidth="1"/>
    <col min="106" max="106" width="11.09765625" bestFit="1" customWidth="1"/>
    <col min="107" max="107" width="11.296875" bestFit="1" customWidth="1"/>
    <col min="108" max="108" width="8.8984375" bestFit="1" customWidth="1"/>
    <col min="109" max="109" width="13.09765625" bestFit="1" customWidth="1"/>
    <col min="110" max="110" width="12.796875" bestFit="1" customWidth="1"/>
    <col min="111" max="112" width="11" bestFit="1" customWidth="1"/>
    <col min="113" max="113" width="12.09765625" bestFit="1" customWidth="1"/>
    <col min="114" max="114" width="12.3984375" bestFit="1" customWidth="1"/>
    <col min="115" max="115" width="12.09765625" bestFit="1" customWidth="1"/>
    <col min="116" max="116" width="13" bestFit="1" customWidth="1"/>
    <col min="117" max="117" width="10.3984375" bestFit="1" customWidth="1"/>
    <col min="118" max="118" width="11.8984375" bestFit="1" customWidth="1"/>
    <col min="119" max="119" width="17.5" bestFit="1" customWidth="1"/>
    <col min="120" max="120" width="11.796875" bestFit="1" customWidth="1"/>
    <col min="121" max="121" width="10.59765625" bestFit="1" customWidth="1"/>
    <col min="122" max="122" width="10.09765625" bestFit="1" customWidth="1"/>
    <col min="123" max="123" width="10.69921875" bestFit="1" customWidth="1"/>
    <col min="124" max="124" width="12.8984375" bestFit="1" customWidth="1"/>
    <col min="125" max="125" width="16.5" bestFit="1" customWidth="1"/>
    <col min="126" max="126" width="13.8984375" bestFit="1" customWidth="1"/>
    <col min="127" max="127" width="16.09765625" bestFit="1" customWidth="1"/>
    <col min="128" max="128" width="11.5" bestFit="1" customWidth="1"/>
    <col min="129" max="129" width="15.69921875" bestFit="1" customWidth="1"/>
    <col min="130" max="130" width="15.09765625" bestFit="1" customWidth="1"/>
    <col min="131" max="131" width="13.8984375" bestFit="1" customWidth="1"/>
    <col min="132" max="132" width="18.796875" bestFit="1" customWidth="1"/>
    <col min="133" max="133" width="11.3984375" bestFit="1" customWidth="1"/>
    <col min="134" max="134" width="13.19921875" bestFit="1" customWidth="1"/>
    <col min="135" max="135" width="12.59765625" bestFit="1" customWidth="1"/>
    <col min="136" max="136" width="11" bestFit="1" customWidth="1"/>
    <col min="137" max="137" width="10.8984375" bestFit="1" customWidth="1"/>
    <col min="138" max="138" width="12" bestFit="1" customWidth="1"/>
    <col min="139" max="139" width="10.69921875" bestFit="1" customWidth="1"/>
    <col min="140" max="140" width="15.19921875" bestFit="1" customWidth="1"/>
    <col min="141" max="141" width="9" bestFit="1" customWidth="1"/>
    <col min="142" max="142" width="15.5" bestFit="1" customWidth="1"/>
    <col min="143" max="143" width="13.296875" bestFit="1" customWidth="1"/>
    <col min="144" max="144" width="13.69921875" bestFit="1" customWidth="1"/>
    <col min="145" max="145" width="12.69921875" bestFit="1" customWidth="1"/>
    <col min="146" max="146" width="13.59765625" bestFit="1" customWidth="1"/>
    <col min="147" max="147" width="13.3984375" bestFit="1" customWidth="1"/>
    <col min="148" max="148" width="11.5" bestFit="1" customWidth="1"/>
    <col min="149" max="149" width="9.59765625" bestFit="1" customWidth="1"/>
    <col min="150" max="150" width="15.09765625" bestFit="1" customWidth="1"/>
    <col min="151" max="151" width="12.5" bestFit="1" customWidth="1"/>
    <col min="152" max="152" width="20.296875" bestFit="1" customWidth="1"/>
    <col min="153" max="153" width="9.09765625" bestFit="1" customWidth="1"/>
    <col min="154" max="154" width="15.09765625" bestFit="1" customWidth="1"/>
    <col min="155" max="155" width="13.5" bestFit="1" customWidth="1"/>
    <col min="156" max="156" width="13.8984375" bestFit="1" customWidth="1"/>
    <col min="157" max="157" width="14.09765625" bestFit="1" customWidth="1"/>
    <col min="158" max="158" width="13" bestFit="1" customWidth="1"/>
    <col min="159" max="159" width="9.296875" bestFit="1" customWidth="1"/>
    <col min="160" max="160" width="10.09765625" bestFit="1" customWidth="1"/>
    <col min="161" max="161" width="14.3984375" bestFit="1" customWidth="1"/>
    <col min="162" max="162" width="12.796875" bestFit="1" customWidth="1"/>
    <col min="163" max="163" width="16.59765625" bestFit="1" customWidth="1"/>
    <col min="164" max="164" width="14.59765625" bestFit="1" customWidth="1"/>
    <col min="165" max="165" width="6.8984375" bestFit="1" customWidth="1"/>
    <col min="166" max="166" width="10.59765625" bestFit="1" customWidth="1"/>
    <col min="167" max="167" width="16.09765625" bestFit="1" customWidth="1"/>
    <col min="168" max="168" width="13.19921875" bestFit="1" customWidth="1"/>
    <col min="169" max="169" width="13.5" bestFit="1" customWidth="1"/>
    <col min="170" max="170" width="10.69921875" bestFit="1" customWidth="1"/>
    <col min="171" max="171" width="13.3984375" bestFit="1" customWidth="1"/>
    <col min="172" max="172" width="13.296875" bestFit="1" customWidth="1"/>
    <col min="173" max="173" width="14.09765625" bestFit="1" customWidth="1"/>
    <col min="174" max="174" width="11" bestFit="1" customWidth="1"/>
    <col min="175" max="175" width="11.09765625" bestFit="1" customWidth="1"/>
    <col min="176" max="176" width="11.5" bestFit="1" customWidth="1"/>
    <col min="177" max="177" width="12.09765625" bestFit="1" customWidth="1"/>
    <col min="178" max="178" width="16.5" bestFit="1" customWidth="1"/>
    <col min="179" max="179" width="15.19921875" bestFit="1" customWidth="1"/>
    <col min="180" max="180" width="15.8984375" bestFit="1" customWidth="1"/>
    <col min="181" max="181" width="13.296875" bestFit="1" customWidth="1"/>
    <col min="182" max="182" width="12.8984375" bestFit="1" customWidth="1"/>
    <col min="183" max="183" width="12.296875" bestFit="1" customWidth="1"/>
    <col min="184" max="184" width="12.796875" bestFit="1" customWidth="1"/>
    <col min="185" max="185" width="13.69921875" bestFit="1" customWidth="1"/>
    <col min="186" max="186" width="10.8984375" bestFit="1" customWidth="1"/>
    <col min="187" max="187" width="13.796875" bestFit="1" customWidth="1"/>
    <col min="188" max="188" width="15" bestFit="1" customWidth="1"/>
    <col min="189" max="189" width="12.69921875" bestFit="1" customWidth="1"/>
    <col min="190" max="190" width="9.19921875" bestFit="1" customWidth="1"/>
    <col min="191" max="191" width="16.5" bestFit="1" customWidth="1"/>
    <col min="192" max="192" width="12" bestFit="1" customWidth="1"/>
    <col min="193" max="193" width="13" bestFit="1" customWidth="1"/>
    <col min="194" max="194" width="12.19921875" bestFit="1" customWidth="1"/>
    <col min="195" max="195" width="12.796875" bestFit="1" customWidth="1"/>
    <col min="196" max="196" width="13" bestFit="1" customWidth="1"/>
    <col min="197" max="197" width="14.69921875" bestFit="1" customWidth="1"/>
    <col min="198" max="198" width="12.59765625" bestFit="1" customWidth="1"/>
    <col min="199" max="199" width="11.3984375" bestFit="1" customWidth="1"/>
    <col min="200" max="200" width="12.5" bestFit="1" customWidth="1"/>
    <col min="201" max="201" width="9.09765625" bestFit="1" customWidth="1"/>
    <col min="202" max="202" width="14.796875" bestFit="1" customWidth="1"/>
    <col min="203" max="203" width="12.19921875" bestFit="1" customWidth="1"/>
    <col min="204" max="204" width="13.59765625" bestFit="1" customWidth="1"/>
    <col min="205" max="205" width="14.3984375" bestFit="1" customWidth="1"/>
    <col min="206" max="206" width="12.296875" bestFit="1" customWidth="1"/>
    <col min="207" max="207" width="10.5" bestFit="1" customWidth="1"/>
    <col min="208" max="208" width="12.09765625" bestFit="1" customWidth="1"/>
    <col min="209" max="209" width="13" bestFit="1" customWidth="1"/>
    <col min="210" max="210" width="13.09765625" bestFit="1" customWidth="1"/>
    <col min="211" max="211" width="11.59765625" bestFit="1" customWidth="1"/>
    <col min="212" max="212" width="10.5" bestFit="1" customWidth="1"/>
    <col min="213" max="213" width="12.3984375" bestFit="1" customWidth="1"/>
    <col min="214" max="214" width="13.296875" bestFit="1" customWidth="1"/>
    <col min="215" max="215" width="13.59765625" bestFit="1" customWidth="1"/>
    <col min="216" max="216" width="13.296875" bestFit="1" customWidth="1"/>
    <col min="217" max="217" width="11.3984375" bestFit="1" customWidth="1"/>
    <col min="218" max="218" width="11.796875" bestFit="1" customWidth="1"/>
    <col min="219" max="219" width="15.09765625" bestFit="1" customWidth="1"/>
    <col min="220" max="220" width="13.3984375" bestFit="1" customWidth="1"/>
    <col min="221" max="221" width="15.5" bestFit="1" customWidth="1"/>
    <col min="222" max="222" width="10.19921875" bestFit="1" customWidth="1"/>
    <col min="223" max="223" width="8.296875" bestFit="1" customWidth="1"/>
    <col min="224" max="224" width="9.5" bestFit="1" customWidth="1"/>
    <col min="225" max="225" width="12.59765625" bestFit="1" customWidth="1"/>
    <col min="226" max="226" width="13.3984375" bestFit="1" customWidth="1"/>
    <col min="227" max="227" width="13.296875" bestFit="1" customWidth="1"/>
    <col min="228" max="228" width="10.09765625" bestFit="1" customWidth="1"/>
    <col min="229" max="229" width="13.3984375" bestFit="1" customWidth="1"/>
    <col min="230" max="230" width="11.59765625" bestFit="1" customWidth="1"/>
    <col min="231" max="231" width="8"/>
    <col min="232" max="232" width="13.5" bestFit="1" customWidth="1"/>
    <col min="233" max="233" width="11.5" bestFit="1" customWidth="1"/>
    <col min="234" max="234" width="12.5" bestFit="1" customWidth="1"/>
    <col min="235" max="235" width="13.69921875" bestFit="1" customWidth="1"/>
    <col min="236" max="236" width="13.59765625" bestFit="1" customWidth="1"/>
    <col min="237" max="237" width="13.796875" bestFit="1" customWidth="1"/>
    <col min="238" max="238" width="12.296875" bestFit="1" customWidth="1"/>
    <col min="239" max="239" width="8.8984375" bestFit="1" customWidth="1"/>
    <col min="240" max="240" width="13.59765625" bestFit="1" customWidth="1"/>
    <col min="241" max="241" width="10.09765625" bestFit="1" customWidth="1"/>
    <col min="242" max="242" width="11.19921875" bestFit="1" customWidth="1"/>
    <col min="243" max="243" width="12.3984375" bestFit="1" customWidth="1"/>
    <col min="244" max="244" width="10.19921875" bestFit="1" customWidth="1"/>
    <col min="245" max="245" width="10.59765625" bestFit="1" customWidth="1"/>
    <col min="246" max="246" width="10.19921875" bestFit="1" customWidth="1"/>
    <col min="247" max="247" width="17.69921875" bestFit="1" customWidth="1"/>
    <col min="248" max="248" width="10.3984375" bestFit="1" customWidth="1"/>
    <col min="249" max="249" width="9.5" bestFit="1" customWidth="1"/>
    <col min="250" max="250" width="10.296875" bestFit="1" customWidth="1"/>
    <col min="251" max="251" width="12.59765625" bestFit="1" customWidth="1"/>
    <col min="252" max="252" width="13.09765625" bestFit="1" customWidth="1"/>
    <col min="253" max="253" width="12.59765625" bestFit="1" customWidth="1"/>
    <col min="254" max="254" width="10.5" bestFit="1" customWidth="1"/>
    <col min="255" max="255" width="12.69921875" bestFit="1" customWidth="1"/>
    <col min="256" max="256" width="9.5" bestFit="1" customWidth="1"/>
    <col min="257" max="257" width="14" bestFit="1" customWidth="1"/>
    <col min="258" max="258" width="8.69921875" bestFit="1" customWidth="1"/>
    <col min="259" max="259" width="9.796875" bestFit="1" customWidth="1"/>
    <col min="260" max="260" width="13.796875" bestFit="1" customWidth="1"/>
    <col min="261" max="261" width="11.296875" bestFit="1" customWidth="1"/>
    <col min="262" max="262" width="9.8984375" bestFit="1" customWidth="1"/>
    <col min="263" max="263" width="9" bestFit="1" customWidth="1"/>
    <col min="264" max="264" width="10.296875" bestFit="1" customWidth="1"/>
    <col min="265" max="265" width="12.3984375" bestFit="1" customWidth="1"/>
    <col min="266" max="266" width="11" bestFit="1" customWidth="1"/>
    <col min="267" max="267" width="14.09765625" bestFit="1" customWidth="1"/>
    <col min="268" max="268" width="16.5" bestFit="1" customWidth="1"/>
    <col min="269" max="269" width="15.59765625" bestFit="1" customWidth="1"/>
    <col min="270" max="270" width="13" bestFit="1" customWidth="1"/>
    <col min="271" max="271" width="9.5" bestFit="1" customWidth="1"/>
    <col min="272" max="272" width="11.796875" bestFit="1" customWidth="1"/>
    <col min="273" max="273" width="11.8984375" bestFit="1" customWidth="1"/>
    <col min="274" max="274" width="14.09765625" bestFit="1" customWidth="1"/>
    <col min="275" max="275" width="13.296875" bestFit="1" customWidth="1"/>
    <col min="276" max="276" width="12.296875" bestFit="1" customWidth="1"/>
    <col min="277" max="277" width="10.09765625" bestFit="1" customWidth="1"/>
    <col min="278" max="278" width="14" bestFit="1" customWidth="1"/>
    <col min="279" max="279" width="12.59765625" bestFit="1" customWidth="1"/>
    <col min="280" max="280" width="12.796875" bestFit="1" customWidth="1"/>
    <col min="281" max="281" width="16.19921875" bestFit="1" customWidth="1"/>
    <col min="282" max="282" width="14.5" bestFit="1" customWidth="1"/>
    <col min="283" max="283" width="13.69921875" bestFit="1" customWidth="1"/>
    <col min="284" max="284" width="11.796875" bestFit="1" customWidth="1"/>
    <col min="285" max="285" width="9" bestFit="1" customWidth="1"/>
    <col min="286" max="286" width="15.296875" bestFit="1" customWidth="1"/>
    <col min="287" max="287" width="10.8984375" bestFit="1" customWidth="1"/>
    <col min="288" max="288" width="11.59765625" bestFit="1" customWidth="1"/>
    <col min="289" max="289" width="10.59765625" bestFit="1" customWidth="1"/>
    <col min="290" max="290" width="12.296875" bestFit="1" customWidth="1"/>
    <col min="291" max="291" width="13.3984375" bestFit="1" customWidth="1"/>
    <col min="292" max="292" width="11.3984375" bestFit="1" customWidth="1"/>
    <col min="293" max="293" width="13.8984375" bestFit="1" customWidth="1"/>
    <col min="294" max="294" width="13.3984375" bestFit="1" customWidth="1"/>
    <col min="295" max="295" width="10.796875" bestFit="1" customWidth="1"/>
    <col min="296" max="296" width="19" bestFit="1" customWidth="1"/>
    <col min="297" max="297" width="11.5" bestFit="1" customWidth="1"/>
    <col min="298" max="298" width="16.59765625" bestFit="1" customWidth="1"/>
    <col min="299" max="299" width="13.69921875" bestFit="1" customWidth="1"/>
    <col min="300" max="300" width="11.3984375" bestFit="1" customWidth="1"/>
    <col min="301" max="301" width="12.59765625" bestFit="1" customWidth="1"/>
    <col min="302" max="302" width="11.8984375" bestFit="1" customWidth="1"/>
    <col min="303" max="303" width="10.69921875" bestFit="1" customWidth="1"/>
    <col min="304" max="304" width="11.09765625" bestFit="1" customWidth="1"/>
    <col min="305" max="305" width="16.59765625" bestFit="1" customWidth="1"/>
    <col min="306" max="306" width="15" bestFit="1" customWidth="1"/>
    <col min="307" max="307" width="11.296875" bestFit="1" customWidth="1"/>
    <col min="308" max="308" width="13.3984375" bestFit="1" customWidth="1"/>
    <col min="309" max="309" width="14.5" bestFit="1" customWidth="1"/>
    <col min="310" max="310" width="13.69921875" bestFit="1" customWidth="1"/>
    <col min="311" max="311" width="9" bestFit="1" customWidth="1"/>
    <col min="312" max="312" width="11.09765625" bestFit="1" customWidth="1"/>
    <col min="313" max="313" width="9.69921875" bestFit="1" customWidth="1"/>
  </cols>
  <sheetData>
    <row r="1" spans="1:7">
      <c r="A1" t="s">
        <v>480</v>
      </c>
    </row>
    <row r="2" spans="1:7">
      <c r="A2" t="s">
        <v>484</v>
      </c>
    </row>
    <row r="3" spans="1:7">
      <c r="A3" t="s">
        <v>485</v>
      </c>
    </row>
    <row r="4" spans="1:7">
      <c r="A4" t="s">
        <v>486</v>
      </c>
    </row>
    <row r="5" spans="1:7">
      <c r="A5" t="s">
        <v>487</v>
      </c>
    </row>
    <row r="6" spans="1:7">
      <c r="A6" t="s">
        <v>496</v>
      </c>
    </row>
    <row r="7" spans="1:7">
      <c r="A7" t="s">
        <v>488</v>
      </c>
    </row>
    <row r="8" spans="1:7">
      <c r="A8" t="s">
        <v>534</v>
      </c>
    </row>
    <row r="9" spans="1:7">
      <c r="A9" s="17" t="s">
        <v>535</v>
      </c>
    </row>
    <row r="10" spans="1:7">
      <c r="A10" s="17" t="s">
        <v>536</v>
      </c>
    </row>
    <row r="11" spans="1:7" ht="16.2" customHeight="1"/>
    <row r="12" spans="1:7" ht="16.2" customHeight="1"/>
    <row r="13" spans="1:7" ht="10.8" customHeight="1">
      <c r="F13" t="s">
        <v>494</v>
      </c>
    </row>
    <row r="14" spans="1:7">
      <c r="A14" t="s">
        <v>495</v>
      </c>
      <c r="F14" s="15" t="s">
        <v>481</v>
      </c>
      <c r="G14" t="s">
        <v>483</v>
      </c>
    </row>
    <row r="15" spans="1:7">
      <c r="A15" s="15" t="s">
        <v>481</v>
      </c>
      <c r="B15" t="s">
        <v>483</v>
      </c>
      <c r="F15" s="16" t="s">
        <v>59</v>
      </c>
      <c r="G15">
        <v>30</v>
      </c>
    </row>
    <row r="16" spans="1:7">
      <c r="A16" s="16" t="s">
        <v>53</v>
      </c>
      <c r="B16">
        <v>176</v>
      </c>
      <c r="F16" s="16" t="s">
        <v>44</v>
      </c>
      <c r="G16">
        <v>124</v>
      </c>
    </row>
    <row r="17" spans="1:7">
      <c r="A17" s="16" t="s">
        <v>31</v>
      </c>
      <c r="B17">
        <v>135</v>
      </c>
      <c r="F17" s="16" t="s">
        <v>129</v>
      </c>
      <c r="G17">
        <v>12</v>
      </c>
    </row>
    <row r="18" spans="1:7">
      <c r="A18" s="16" t="s">
        <v>482</v>
      </c>
      <c r="B18">
        <v>311</v>
      </c>
      <c r="F18" s="16" t="s">
        <v>32</v>
      </c>
      <c r="G18">
        <v>137</v>
      </c>
    </row>
    <row r="19" spans="1:7">
      <c r="A19" s="16"/>
      <c r="F19" s="16" t="s">
        <v>70</v>
      </c>
      <c r="G19">
        <v>8</v>
      </c>
    </row>
    <row r="20" spans="1:7">
      <c r="A20" s="16"/>
      <c r="F20" s="16" t="s">
        <v>482</v>
      </c>
      <c r="G20">
        <v>311</v>
      </c>
    </row>
    <row r="21" spans="1:7">
      <c r="A21" s="16"/>
    </row>
    <row r="22" spans="1:7">
      <c r="A22" s="16"/>
    </row>
    <row r="23" spans="1:7">
      <c r="A23" s="16"/>
    </row>
    <row r="24" spans="1:7">
      <c r="A24" s="16"/>
    </row>
    <row r="25" spans="1:7">
      <c r="A25" s="16"/>
    </row>
    <row r="26" spans="1:7">
      <c r="A26" s="16"/>
    </row>
    <row r="31" spans="1:7">
      <c r="A31" t="s">
        <v>499</v>
      </c>
    </row>
    <row r="32" spans="1:7">
      <c r="D32" t="s">
        <v>500</v>
      </c>
    </row>
    <row r="33" spans="1:5">
      <c r="A33" s="15" t="s">
        <v>481</v>
      </c>
      <c r="B33" t="s">
        <v>483</v>
      </c>
      <c r="D33" s="15" t="s">
        <v>481</v>
      </c>
      <c r="E33" t="s">
        <v>483</v>
      </c>
    </row>
    <row r="34" spans="1:5">
      <c r="A34" s="16" t="s">
        <v>489</v>
      </c>
      <c r="B34">
        <v>11</v>
      </c>
      <c r="D34" s="16" t="s">
        <v>497</v>
      </c>
      <c r="E34">
        <v>35</v>
      </c>
    </row>
    <row r="35" spans="1:5">
      <c r="A35" s="16" t="s">
        <v>490</v>
      </c>
      <c r="B35">
        <v>153</v>
      </c>
      <c r="D35" s="16" t="s">
        <v>30</v>
      </c>
      <c r="E35">
        <v>276</v>
      </c>
    </row>
    <row r="36" spans="1:5">
      <c r="A36" s="16" t="s">
        <v>491</v>
      </c>
      <c r="B36">
        <v>98</v>
      </c>
      <c r="D36" s="16" t="s">
        <v>482</v>
      </c>
      <c r="E36">
        <v>311</v>
      </c>
    </row>
    <row r="37" spans="1:5">
      <c r="A37" s="16" t="s">
        <v>492</v>
      </c>
      <c r="B37">
        <v>36</v>
      </c>
    </row>
    <row r="38" spans="1:5">
      <c r="A38" s="16" t="s">
        <v>493</v>
      </c>
      <c r="B38">
        <v>13</v>
      </c>
    </row>
    <row r="39" spans="1:5">
      <c r="A39" s="16" t="s">
        <v>482</v>
      </c>
      <c r="B39">
        <v>311</v>
      </c>
    </row>
    <row r="40" spans="1:5">
      <c r="A40" s="16"/>
    </row>
    <row r="41" spans="1:5">
      <c r="A41" s="16"/>
    </row>
    <row r="42" spans="1:5">
      <c r="A42" s="16"/>
    </row>
    <row r="43" spans="1:5">
      <c r="A43" s="16"/>
    </row>
    <row r="44" spans="1:5">
      <c r="A44" s="16"/>
    </row>
    <row r="45" spans="1:5">
      <c r="A45" s="16"/>
    </row>
    <row r="46" spans="1:5">
      <c r="A46" s="16"/>
    </row>
    <row r="47" spans="1:5">
      <c r="A47" s="16"/>
    </row>
    <row r="48" spans="1:5">
      <c r="A48" s="16"/>
    </row>
    <row r="49" spans="1:6">
      <c r="A49" s="16"/>
    </row>
    <row r="50" spans="1:6">
      <c r="A50" s="16"/>
    </row>
    <row r="51" spans="1:6">
      <c r="A51" s="16"/>
    </row>
    <row r="52" spans="1:6">
      <c r="A52" s="16"/>
    </row>
    <row r="53" spans="1:6">
      <c r="A53" t="s">
        <v>498</v>
      </c>
      <c r="E53" t="s">
        <v>501</v>
      </c>
    </row>
    <row r="54" spans="1:6">
      <c r="A54" s="15" t="s">
        <v>481</v>
      </c>
      <c r="B54" t="s">
        <v>483</v>
      </c>
    </row>
    <row r="55" spans="1:6">
      <c r="A55" s="16" t="s">
        <v>250</v>
      </c>
      <c r="B55">
        <v>3</v>
      </c>
      <c r="E55" s="15" t="s">
        <v>481</v>
      </c>
      <c r="F55" t="s">
        <v>483</v>
      </c>
    </row>
    <row r="56" spans="1:6">
      <c r="A56" s="16" t="s">
        <v>104</v>
      </c>
      <c r="B56">
        <v>29</v>
      </c>
      <c r="E56" s="16" t="s">
        <v>99</v>
      </c>
      <c r="F56">
        <v>12</v>
      </c>
    </row>
    <row r="57" spans="1:6">
      <c r="A57" s="16" t="s">
        <v>74</v>
      </c>
      <c r="B57">
        <v>80</v>
      </c>
      <c r="E57" s="16" t="s">
        <v>156</v>
      </c>
      <c r="F57">
        <v>4</v>
      </c>
    </row>
    <row r="58" spans="1:6">
      <c r="A58" s="16" t="s">
        <v>337</v>
      </c>
      <c r="B58">
        <v>1</v>
      </c>
      <c r="E58" s="16" t="s">
        <v>33</v>
      </c>
      <c r="F58">
        <v>295</v>
      </c>
    </row>
    <row r="59" spans="1:6">
      <c r="A59" s="16" t="s">
        <v>90</v>
      </c>
      <c r="B59">
        <v>11</v>
      </c>
      <c r="E59" s="16" t="s">
        <v>482</v>
      </c>
      <c r="F59">
        <v>311</v>
      </c>
    </row>
    <row r="60" spans="1:6">
      <c r="A60" s="16" t="s">
        <v>35</v>
      </c>
      <c r="B60">
        <v>187</v>
      </c>
    </row>
    <row r="61" spans="1:6">
      <c r="A61" s="16" t="s">
        <v>482</v>
      </c>
      <c r="B61">
        <v>311</v>
      </c>
    </row>
    <row r="62" spans="1:6">
      <c r="A62" s="16"/>
    </row>
    <row r="80" spans="1:5">
      <c r="A80" s="17" t="s">
        <v>535</v>
      </c>
      <c r="E80" s="17" t="s">
        <v>536</v>
      </c>
    </row>
    <row r="81" spans="1:6">
      <c r="A81" s="15" t="s">
        <v>481</v>
      </c>
      <c r="B81" t="s">
        <v>483</v>
      </c>
    </row>
    <row r="82" spans="1:6">
      <c r="A82" s="16" t="s">
        <v>46</v>
      </c>
      <c r="B82">
        <v>88</v>
      </c>
      <c r="E82" s="15" t="s">
        <v>481</v>
      </c>
      <c r="F82" t="s">
        <v>483</v>
      </c>
    </row>
    <row r="83" spans="1:6">
      <c r="A83" s="16" t="s">
        <v>482</v>
      </c>
      <c r="B83">
        <v>88</v>
      </c>
      <c r="E83" s="16" t="s">
        <v>37</v>
      </c>
      <c r="F83">
        <v>207</v>
      </c>
    </row>
    <row r="84" spans="1:6">
      <c r="E84" s="16" t="s">
        <v>96</v>
      </c>
      <c r="F84">
        <v>16</v>
      </c>
    </row>
    <row r="85" spans="1:6">
      <c r="E85" s="16" t="s">
        <v>46</v>
      </c>
      <c r="F85">
        <v>88</v>
      </c>
    </row>
    <row r="86" spans="1:6">
      <c r="E86" s="16" t="s">
        <v>482</v>
      </c>
      <c r="F86">
        <v>311</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76840-B6A0-4D92-8283-B6758E2DB517}">
  <sheetPr codeName="Sheet3"/>
  <dimension ref="A1:J109"/>
  <sheetViews>
    <sheetView tabSelected="1" topLeftCell="E31" zoomScale="77" workbookViewId="0">
      <selection activeCell="G60" sqref="G60"/>
    </sheetView>
  </sheetViews>
  <sheetFormatPr defaultRowHeight="13.8"/>
  <cols>
    <col min="1" max="1" width="18.69921875" customWidth="1"/>
    <col min="2" max="2" width="18.796875" customWidth="1"/>
    <col min="3" max="3" width="14.5" customWidth="1"/>
    <col min="4" max="4" width="7.8984375" customWidth="1"/>
    <col min="5" max="5" width="13.5" customWidth="1"/>
    <col min="6" max="6" width="7.8984375" customWidth="1"/>
    <col min="7" max="7" width="24.796875" customWidth="1"/>
    <col min="8" max="8" width="15.796875" customWidth="1"/>
    <col min="9" max="9" width="13.296875" customWidth="1"/>
    <col min="10" max="10" width="18.796875" customWidth="1"/>
    <col min="11" max="11" width="15.5" customWidth="1"/>
    <col min="12" max="308" width="14" bestFit="1" customWidth="1"/>
    <col min="309" max="309" width="9.69921875" bestFit="1" customWidth="1"/>
  </cols>
  <sheetData>
    <row r="1" spans="1:8">
      <c r="A1" s="22" t="s">
        <v>503</v>
      </c>
    </row>
    <row r="3" spans="1:8">
      <c r="A3" t="s">
        <v>538</v>
      </c>
    </row>
    <row r="4" spans="1:8">
      <c r="A4" t="s">
        <v>539</v>
      </c>
    </row>
    <row r="5" spans="1:8">
      <c r="A5" t="s">
        <v>540</v>
      </c>
    </row>
    <row r="6" spans="1:8">
      <c r="A6" t="s">
        <v>541</v>
      </c>
    </row>
    <row r="7" spans="1:8">
      <c r="A7" t="s">
        <v>542</v>
      </c>
    </row>
    <row r="8" spans="1:8">
      <c r="A8" t="s">
        <v>511</v>
      </c>
    </row>
    <row r="10" spans="1:8" ht="17.399999999999999">
      <c r="A10" s="18" t="s">
        <v>537</v>
      </c>
    </row>
    <row r="11" spans="1:8">
      <c r="A11" s="17"/>
    </row>
    <row r="12" spans="1:8">
      <c r="A12" s="17" t="s">
        <v>543</v>
      </c>
    </row>
    <row r="13" spans="1:8">
      <c r="A13" s="17" t="s">
        <v>544</v>
      </c>
    </row>
    <row r="14" spans="1:8">
      <c r="A14" s="17" t="s">
        <v>545</v>
      </c>
    </row>
    <row r="15" spans="1:8">
      <c r="A15" s="17" t="s">
        <v>546</v>
      </c>
      <c r="B15" t="s">
        <v>502</v>
      </c>
      <c r="H15" t="s">
        <v>507</v>
      </c>
    </row>
    <row r="16" spans="1:8">
      <c r="A16" t="s">
        <v>538</v>
      </c>
    </row>
    <row r="17" spans="1:8">
      <c r="A17" s="15" t="s">
        <v>481</v>
      </c>
      <c r="B17" t="s">
        <v>504</v>
      </c>
      <c r="G17" s="15" t="s">
        <v>481</v>
      </c>
      <c r="H17" t="s">
        <v>504</v>
      </c>
    </row>
    <row r="18" spans="1:8">
      <c r="A18" s="16" t="s">
        <v>118</v>
      </c>
      <c r="B18">
        <v>71791.888888888891</v>
      </c>
      <c r="G18" s="16" t="s">
        <v>517</v>
      </c>
      <c r="H18">
        <v>199790</v>
      </c>
    </row>
    <row r="19" spans="1:8">
      <c r="A19" s="16" t="s">
        <v>294</v>
      </c>
      <c r="B19">
        <v>250000</v>
      </c>
      <c r="G19" s="20" t="s">
        <v>477</v>
      </c>
      <c r="H19">
        <v>220450</v>
      </c>
    </row>
    <row r="20" spans="1:8">
      <c r="A20" s="16" t="s">
        <v>47</v>
      </c>
      <c r="B20">
        <v>97064.639999999999</v>
      </c>
      <c r="G20" s="20" t="s">
        <v>166</v>
      </c>
      <c r="H20">
        <v>170500</v>
      </c>
    </row>
    <row r="21" spans="1:8">
      <c r="A21" s="16" t="s">
        <v>38</v>
      </c>
      <c r="B21">
        <v>59953.545454545456</v>
      </c>
      <c r="G21" s="20" t="s">
        <v>268</v>
      </c>
      <c r="H21">
        <v>180000</v>
      </c>
    </row>
    <row r="22" spans="1:8">
      <c r="A22" s="16" t="s">
        <v>133</v>
      </c>
      <c r="B22">
        <v>69061.258064516136</v>
      </c>
      <c r="G22" s="20" t="s">
        <v>224</v>
      </c>
      <c r="H22">
        <v>178000</v>
      </c>
    </row>
    <row r="23" spans="1:8">
      <c r="A23" s="16" t="s">
        <v>67</v>
      </c>
      <c r="B23">
        <v>94989.454545454544</v>
      </c>
      <c r="G23" s="20" t="s">
        <v>293</v>
      </c>
      <c r="H23">
        <v>250000</v>
      </c>
    </row>
    <row r="24" spans="1:8">
      <c r="A24" s="16" t="s">
        <v>482</v>
      </c>
      <c r="B24">
        <v>69020.684887459807</v>
      </c>
      <c r="G24" s="16" t="s">
        <v>518</v>
      </c>
      <c r="H24">
        <v>70459.808695652173</v>
      </c>
    </row>
    <row r="25" spans="1:8">
      <c r="A25" s="16"/>
      <c r="G25" s="20" t="s">
        <v>131</v>
      </c>
      <c r="H25">
        <v>64932.555555555555</v>
      </c>
    </row>
    <row r="26" spans="1:8">
      <c r="G26" s="20" t="s">
        <v>87</v>
      </c>
      <c r="H26">
        <v>89932.571428571435</v>
      </c>
    </row>
    <row r="27" spans="1:8">
      <c r="G27" s="20" t="s">
        <v>121</v>
      </c>
      <c r="H27">
        <v>75294.5</v>
      </c>
    </row>
    <row r="28" spans="1:8">
      <c r="G28" s="20" t="s">
        <v>52</v>
      </c>
      <c r="H28">
        <v>64892.210526315786</v>
      </c>
    </row>
    <row r="29" spans="1:8">
      <c r="G29" s="20" t="s">
        <v>66</v>
      </c>
      <c r="H29">
        <v>96719.2</v>
      </c>
    </row>
    <row r="30" spans="1:8">
      <c r="G30" s="16" t="s">
        <v>482</v>
      </c>
      <c r="H30">
        <v>75848.566666666666</v>
      </c>
    </row>
    <row r="40" spans="1:9">
      <c r="A40" t="s">
        <v>508</v>
      </c>
      <c r="G40">
        <v>4</v>
      </c>
      <c r="H40" t="s">
        <v>509</v>
      </c>
    </row>
    <row r="42" spans="1:9">
      <c r="A42" s="15" t="s">
        <v>481</v>
      </c>
      <c r="B42" t="s">
        <v>550</v>
      </c>
      <c r="H42" s="15" t="s">
        <v>481</v>
      </c>
      <c r="I42" t="s">
        <v>504</v>
      </c>
    </row>
    <row r="43" spans="1:9">
      <c r="A43" s="16" t="s">
        <v>505</v>
      </c>
      <c r="B43">
        <v>102</v>
      </c>
      <c r="H43" s="16" t="s">
        <v>53</v>
      </c>
      <c r="I43">
        <v>67786.727272727279</v>
      </c>
    </row>
    <row r="44" spans="1:9">
      <c r="A44" s="16" t="s">
        <v>506</v>
      </c>
      <c r="B44">
        <v>209</v>
      </c>
      <c r="H44" s="16" t="s">
        <v>31</v>
      </c>
      <c r="I44">
        <v>70629.399999999994</v>
      </c>
    </row>
    <row r="45" spans="1:9">
      <c r="A45" s="16" t="s">
        <v>482</v>
      </c>
      <c r="B45">
        <v>311</v>
      </c>
      <c r="H45" s="16" t="s">
        <v>482</v>
      </c>
      <c r="I45">
        <v>69020.684887459807</v>
      </c>
    </row>
    <row r="60" spans="1:9">
      <c r="G60" t="e" cm="1">
        <f t="array" ref="G60">av</f>
        <v>#NAME?</v>
      </c>
    </row>
    <row r="62" spans="1:9">
      <c r="A62" t="s">
        <v>510</v>
      </c>
      <c r="H62" t="s">
        <v>511</v>
      </c>
    </row>
    <row r="64" spans="1:9">
      <c r="A64" s="15" t="s">
        <v>481</v>
      </c>
      <c r="B64" t="s">
        <v>504</v>
      </c>
      <c r="H64" s="15" t="s">
        <v>481</v>
      </c>
      <c r="I64" t="s">
        <v>504</v>
      </c>
    </row>
    <row r="65" spans="1:9">
      <c r="A65" s="16" t="s">
        <v>489</v>
      </c>
      <c r="B65">
        <v>58737</v>
      </c>
      <c r="H65" s="16" t="s">
        <v>182</v>
      </c>
      <c r="I65">
        <v>61568</v>
      </c>
    </row>
    <row r="66" spans="1:9">
      <c r="A66" s="16" t="s">
        <v>490</v>
      </c>
      <c r="B66">
        <v>68621.601307189543</v>
      </c>
      <c r="H66" s="16" t="s">
        <v>454</v>
      </c>
      <c r="I66">
        <v>57859</v>
      </c>
    </row>
    <row r="67" spans="1:9">
      <c r="A67" s="16" t="s">
        <v>491</v>
      </c>
      <c r="B67">
        <v>68831.877551020414</v>
      </c>
      <c r="H67" s="16" t="s">
        <v>200</v>
      </c>
      <c r="I67">
        <v>74241</v>
      </c>
    </row>
    <row r="68" spans="1:9">
      <c r="A68" s="16" t="s">
        <v>492</v>
      </c>
      <c r="B68">
        <v>70585.027777777781</v>
      </c>
      <c r="H68" s="16" t="s">
        <v>291</v>
      </c>
      <c r="I68">
        <v>65310</v>
      </c>
    </row>
    <row r="69" spans="1:9">
      <c r="A69" s="16" t="s">
        <v>493</v>
      </c>
      <c r="B69">
        <v>79510.461538461532</v>
      </c>
      <c r="H69" s="16" t="s">
        <v>114</v>
      </c>
      <c r="I69">
        <v>77617.5</v>
      </c>
    </row>
    <row r="70" spans="1:9">
      <c r="A70" s="16" t="s">
        <v>482</v>
      </c>
      <c r="B70">
        <v>69020.684887459807</v>
      </c>
      <c r="H70" s="16" t="s">
        <v>360</v>
      </c>
      <c r="I70">
        <v>63051</v>
      </c>
    </row>
    <row r="71" spans="1:9">
      <c r="H71" s="16" t="s">
        <v>354</v>
      </c>
      <c r="I71">
        <v>63695</v>
      </c>
    </row>
    <row r="72" spans="1:9">
      <c r="H72" s="16" t="s">
        <v>387</v>
      </c>
      <c r="I72">
        <v>61809</v>
      </c>
    </row>
    <row r="73" spans="1:9">
      <c r="H73" s="16" t="s">
        <v>240</v>
      </c>
      <c r="I73">
        <v>61555</v>
      </c>
    </row>
    <row r="74" spans="1:9">
      <c r="H74" s="16" t="s">
        <v>379</v>
      </c>
      <c r="I74">
        <v>61844</v>
      </c>
    </row>
    <row r="75" spans="1:9">
      <c r="H75" s="16" t="s">
        <v>30</v>
      </c>
      <c r="I75">
        <v>68756.996376811599</v>
      </c>
    </row>
    <row r="76" spans="1:9">
      <c r="H76" s="16" t="s">
        <v>458</v>
      </c>
      <c r="I76">
        <v>55875</v>
      </c>
    </row>
    <row r="77" spans="1:9">
      <c r="H77" s="16" t="s">
        <v>433</v>
      </c>
      <c r="I77">
        <v>60120</v>
      </c>
    </row>
    <row r="78" spans="1:9">
      <c r="H78" s="16" t="s">
        <v>364</v>
      </c>
      <c r="I78">
        <v>68829</v>
      </c>
    </row>
    <row r="79" spans="1:9">
      <c r="H79" s="16" t="s">
        <v>447</v>
      </c>
      <c r="I79">
        <v>64397</v>
      </c>
    </row>
    <row r="80" spans="1:9">
      <c r="H80" s="16" t="s">
        <v>264</v>
      </c>
      <c r="I80">
        <v>70545</v>
      </c>
    </row>
    <row r="81" spans="8:9">
      <c r="H81" s="16" t="s">
        <v>429</v>
      </c>
      <c r="I81">
        <v>58273</v>
      </c>
    </row>
    <row r="82" spans="8:9">
      <c r="H82" s="16" t="s">
        <v>300</v>
      </c>
      <c r="I82">
        <v>71339</v>
      </c>
    </row>
    <row r="83" spans="8:9">
      <c r="H83" s="16" t="s">
        <v>236</v>
      </c>
      <c r="I83">
        <v>59370</v>
      </c>
    </row>
    <row r="84" spans="8:9">
      <c r="H84" s="16" t="s">
        <v>442</v>
      </c>
      <c r="I84">
        <v>58370</v>
      </c>
    </row>
    <row r="85" spans="8:9">
      <c r="H85" s="16" t="s">
        <v>287</v>
      </c>
      <c r="I85">
        <v>68999</v>
      </c>
    </row>
    <row r="86" spans="8:9">
      <c r="H86" s="16" t="s">
        <v>269</v>
      </c>
      <c r="I86">
        <v>180000</v>
      </c>
    </row>
    <row r="87" spans="8:9">
      <c r="H87" s="16" t="s">
        <v>256</v>
      </c>
      <c r="I87">
        <v>71707</v>
      </c>
    </row>
    <row r="88" spans="8:9">
      <c r="H88" s="16" t="s">
        <v>88</v>
      </c>
      <c r="I88">
        <v>74142.333333333328</v>
      </c>
    </row>
    <row r="89" spans="8:9">
      <c r="H89" s="16" t="s">
        <v>314</v>
      </c>
      <c r="I89">
        <v>70468</v>
      </c>
    </row>
    <row r="90" spans="8:9">
      <c r="H90" s="16" t="s">
        <v>132</v>
      </c>
      <c r="I90">
        <v>74326</v>
      </c>
    </row>
    <row r="91" spans="8:9">
      <c r="H91" s="16" t="s">
        <v>145</v>
      </c>
      <c r="I91">
        <v>68794.5</v>
      </c>
    </row>
    <row r="92" spans="8:9">
      <c r="H92" s="16" t="s">
        <v>192</v>
      </c>
      <c r="I92">
        <v>59231</v>
      </c>
    </row>
    <row r="93" spans="8:9">
      <c r="H93" s="16" t="s">
        <v>482</v>
      </c>
      <c r="I93">
        <v>69020.684887459807</v>
      </c>
    </row>
    <row r="99" spans="1:10">
      <c r="I99" s="17" t="s">
        <v>544</v>
      </c>
    </row>
    <row r="101" spans="1:10">
      <c r="A101" s="17" t="s">
        <v>543</v>
      </c>
    </row>
    <row r="102" spans="1:10">
      <c r="A102" s="15" t="s">
        <v>481</v>
      </c>
      <c r="B102" t="s">
        <v>547</v>
      </c>
      <c r="I102" s="15" t="s">
        <v>481</v>
      </c>
      <c r="J102" t="s">
        <v>547</v>
      </c>
    </row>
    <row r="103" spans="1:10">
      <c r="A103" s="16" t="s">
        <v>118</v>
      </c>
      <c r="B103">
        <v>8.6666666666666661</v>
      </c>
      <c r="I103" s="16" t="s">
        <v>489</v>
      </c>
      <c r="J103">
        <v>9.1818181818181817</v>
      </c>
    </row>
    <row r="104" spans="1:10">
      <c r="A104" s="16" t="s">
        <v>294</v>
      </c>
      <c r="B104">
        <v>10</v>
      </c>
      <c r="I104" s="16" t="s">
        <v>490</v>
      </c>
      <c r="J104">
        <v>10.516339869281046</v>
      </c>
    </row>
    <row r="105" spans="1:10">
      <c r="A105" s="16" t="s">
        <v>47</v>
      </c>
      <c r="B105">
        <v>10.44</v>
      </c>
      <c r="I105" s="16" t="s">
        <v>491</v>
      </c>
      <c r="J105">
        <v>10.163265306122449</v>
      </c>
    </row>
    <row r="106" spans="1:10">
      <c r="A106" s="16" t="s">
        <v>38</v>
      </c>
      <c r="B106">
        <v>10.14354066985646</v>
      </c>
      <c r="I106" s="16" t="s">
        <v>492</v>
      </c>
      <c r="J106">
        <v>10.166666666666666</v>
      </c>
    </row>
    <row r="107" spans="1:10">
      <c r="A107" s="16" t="s">
        <v>133</v>
      </c>
      <c r="B107">
        <v>11.548387096774194</v>
      </c>
      <c r="I107" s="16" t="s">
        <v>493</v>
      </c>
      <c r="J107">
        <v>8.615384615384615</v>
      </c>
    </row>
    <row r="108" spans="1:10">
      <c r="A108" s="16" t="s">
        <v>67</v>
      </c>
      <c r="B108">
        <v>8.7272727272727266</v>
      </c>
      <c r="I108" s="16" t="s">
        <v>482</v>
      </c>
      <c r="J108">
        <v>10.237942122186496</v>
      </c>
    </row>
    <row r="109" spans="1:10">
      <c r="A109" s="16" t="s">
        <v>482</v>
      </c>
      <c r="B109">
        <v>10.237942122186496</v>
      </c>
    </row>
  </sheetData>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86E7D-DA06-401E-A926-386FB0BB6584}">
  <sheetPr codeName="Sheet4"/>
  <dimension ref="A1:H125"/>
  <sheetViews>
    <sheetView topLeftCell="A2" zoomScale="59" workbookViewId="0">
      <selection activeCell="E27" sqref="E27"/>
    </sheetView>
  </sheetViews>
  <sheetFormatPr defaultRowHeight="13.8"/>
  <cols>
    <col min="1" max="1" width="20.59765625" bestFit="1" customWidth="1"/>
    <col min="2" max="2" width="28.69921875" bestFit="1" customWidth="1"/>
    <col min="7" max="7" width="22.796875" customWidth="1"/>
    <col min="8" max="8" width="40.69921875" customWidth="1"/>
  </cols>
  <sheetData>
    <row r="1" spans="1:1" ht="17.399999999999999">
      <c r="A1" s="19" t="s">
        <v>16</v>
      </c>
    </row>
    <row r="2" spans="1:1">
      <c r="A2" s="17" t="s">
        <v>512</v>
      </c>
    </row>
    <row r="3" spans="1:1">
      <c r="A3" s="17" t="s">
        <v>513</v>
      </c>
    </row>
    <row r="4" spans="1:1">
      <c r="A4" s="17" t="s">
        <v>520</v>
      </c>
    </row>
    <row r="5" spans="1:1">
      <c r="A5" s="17"/>
    </row>
    <row r="8" spans="1:1" ht="17.399999999999999">
      <c r="A8" s="18" t="s">
        <v>514</v>
      </c>
    </row>
    <row r="9" spans="1:1">
      <c r="A9" s="17"/>
    </row>
    <row r="10" spans="1:1">
      <c r="A10" s="17" t="s">
        <v>521</v>
      </c>
    </row>
    <row r="11" spans="1:1">
      <c r="A11" s="17" t="s">
        <v>522</v>
      </c>
    </row>
    <row r="12" spans="1:1">
      <c r="A12" s="17"/>
    </row>
    <row r="13" spans="1:1" ht="15.6">
      <c r="A13" s="21" t="s">
        <v>525</v>
      </c>
    </row>
    <row r="14" spans="1:1">
      <c r="A14" s="17"/>
    </row>
    <row r="15" spans="1:1">
      <c r="A15" s="17" t="s">
        <v>526</v>
      </c>
    </row>
    <row r="16" spans="1:1">
      <c r="A16" s="17" t="s">
        <v>527</v>
      </c>
    </row>
    <row r="17" spans="1:8">
      <c r="A17" s="17" t="s">
        <v>528</v>
      </c>
    </row>
    <row r="18" spans="1:8">
      <c r="A18" s="17" t="s">
        <v>529</v>
      </c>
    </row>
    <row r="19" spans="1:8">
      <c r="A19" s="17" t="s">
        <v>530</v>
      </c>
    </row>
    <row r="20" spans="1:8">
      <c r="A20" s="17"/>
    </row>
    <row r="21" spans="1:8">
      <c r="A21" s="17"/>
    </row>
    <row r="22" spans="1:8">
      <c r="A22" s="17" t="s">
        <v>515</v>
      </c>
      <c r="G22" t="s">
        <v>516</v>
      </c>
    </row>
    <row r="24" spans="1:8">
      <c r="A24" s="15" t="s">
        <v>481</v>
      </c>
      <c r="B24" t="s">
        <v>483</v>
      </c>
      <c r="G24" s="15" t="s">
        <v>481</v>
      </c>
      <c r="H24" t="s">
        <v>483</v>
      </c>
    </row>
    <row r="25" spans="1:8">
      <c r="A25" s="16" t="s">
        <v>118</v>
      </c>
      <c r="B25">
        <v>9</v>
      </c>
      <c r="G25" s="16" t="s">
        <v>519</v>
      </c>
      <c r="H25">
        <v>8</v>
      </c>
    </row>
    <row r="26" spans="1:8">
      <c r="A26" s="16" t="s">
        <v>294</v>
      </c>
      <c r="B26">
        <v>1</v>
      </c>
      <c r="G26" s="20" t="s">
        <v>126</v>
      </c>
      <c r="H26">
        <v>3</v>
      </c>
    </row>
    <row r="27" spans="1:8">
      <c r="A27" s="16" t="s">
        <v>47</v>
      </c>
      <c r="B27">
        <v>50</v>
      </c>
      <c r="G27" s="20" t="s">
        <v>268</v>
      </c>
      <c r="H27">
        <v>1</v>
      </c>
    </row>
    <row r="28" spans="1:8">
      <c r="A28" s="16" t="s">
        <v>38</v>
      </c>
      <c r="B28">
        <v>209</v>
      </c>
      <c r="G28" s="20" t="s">
        <v>224</v>
      </c>
      <c r="H28">
        <v>1</v>
      </c>
    </row>
    <row r="29" spans="1:8">
      <c r="A29" s="16" t="s">
        <v>133</v>
      </c>
      <c r="B29">
        <v>31</v>
      </c>
      <c r="G29" s="20" t="s">
        <v>173</v>
      </c>
      <c r="H29">
        <v>3</v>
      </c>
    </row>
    <row r="30" spans="1:8">
      <c r="A30" s="16" t="s">
        <v>67</v>
      </c>
      <c r="B30">
        <v>11</v>
      </c>
      <c r="G30" s="16" t="s">
        <v>482</v>
      </c>
      <c r="H30">
        <v>8</v>
      </c>
    </row>
    <row r="31" spans="1:8">
      <c r="A31" s="16" t="s">
        <v>482</v>
      </c>
      <c r="B31">
        <v>311</v>
      </c>
    </row>
    <row r="43" spans="1:8">
      <c r="A43" t="s">
        <v>548</v>
      </c>
      <c r="G43" t="s">
        <v>523</v>
      </c>
    </row>
    <row r="44" spans="1:8">
      <c r="A44" s="15" t="s">
        <v>481</v>
      </c>
      <c r="B44" t="s">
        <v>483</v>
      </c>
      <c r="G44" s="15" t="s">
        <v>481</v>
      </c>
      <c r="H44" t="s">
        <v>483</v>
      </c>
    </row>
    <row r="45" spans="1:8">
      <c r="A45" s="16" t="s">
        <v>118</v>
      </c>
      <c r="B45">
        <v>9</v>
      </c>
      <c r="G45" s="16" t="s">
        <v>109</v>
      </c>
      <c r="H45">
        <v>23</v>
      </c>
    </row>
    <row r="46" spans="1:8">
      <c r="A46" s="16" t="s">
        <v>294</v>
      </c>
      <c r="B46">
        <v>1</v>
      </c>
      <c r="G46" s="16" t="s">
        <v>76</v>
      </c>
      <c r="H46">
        <v>29</v>
      </c>
    </row>
    <row r="47" spans="1:8">
      <c r="A47" s="16" t="s">
        <v>47</v>
      </c>
      <c r="B47">
        <v>50</v>
      </c>
      <c r="G47" s="16" t="s">
        <v>72</v>
      </c>
      <c r="H47">
        <v>31</v>
      </c>
    </row>
    <row r="48" spans="1:8">
      <c r="A48" s="16" t="s">
        <v>38</v>
      </c>
      <c r="B48">
        <v>209</v>
      </c>
      <c r="G48" s="16" t="s">
        <v>62</v>
      </c>
      <c r="H48">
        <v>49</v>
      </c>
    </row>
    <row r="49" spans="1:8">
      <c r="A49" s="16" t="s">
        <v>133</v>
      </c>
      <c r="B49">
        <v>31</v>
      </c>
      <c r="G49" s="16" t="s">
        <v>49</v>
      </c>
      <c r="H49">
        <v>87</v>
      </c>
    </row>
    <row r="50" spans="1:8">
      <c r="A50" s="16" t="s">
        <v>67</v>
      </c>
      <c r="B50">
        <v>11</v>
      </c>
      <c r="G50" s="16" t="s">
        <v>40</v>
      </c>
      <c r="H50">
        <v>76</v>
      </c>
    </row>
    <row r="51" spans="1:8">
      <c r="A51" s="16" t="s">
        <v>482</v>
      </c>
      <c r="B51">
        <v>311</v>
      </c>
      <c r="G51" s="16" t="s">
        <v>93</v>
      </c>
      <c r="H51">
        <v>1</v>
      </c>
    </row>
    <row r="52" spans="1:8">
      <c r="G52" s="16" t="s">
        <v>228</v>
      </c>
      <c r="H52">
        <v>2</v>
      </c>
    </row>
    <row r="53" spans="1:8">
      <c r="G53" s="16" t="s">
        <v>193</v>
      </c>
      <c r="H53">
        <v>13</v>
      </c>
    </row>
    <row r="54" spans="1:8">
      <c r="G54" s="16" t="s">
        <v>482</v>
      </c>
      <c r="H54">
        <v>311</v>
      </c>
    </row>
    <row r="70" spans="1:8">
      <c r="A70" t="s">
        <v>524</v>
      </c>
      <c r="G70" s="17" t="s">
        <v>526</v>
      </c>
    </row>
    <row r="71" spans="1:8">
      <c r="A71" s="15" t="s">
        <v>481</v>
      </c>
      <c r="B71" t="s">
        <v>483</v>
      </c>
      <c r="G71" s="15" t="s">
        <v>481</v>
      </c>
      <c r="H71" t="s">
        <v>483</v>
      </c>
    </row>
    <row r="72" spans="1:8">
      <c r="A72" s="16" t="s">
        <v>62</v>
      </c>
      <c r="B72">
        <v>49</v>
      </c>
      <c r="G72" s="16" t="s">
        <v>41</v>
      </c>
      <c r="H72">
        <v>37</v>
      </c>
    </row>
    <row r="73" spans="1:8">
      <c r="A73" s="16" t="s">
        <v>49</v>
      </c>
      <c r="B73">
        <v>87</v>
      </c>
      <c r="G73" s="16" t="s">
        <v>50</v>
      </c>
      <c r="H73">
        <v>243</v>
      </c>
    </row>
    <row r="74" spans="1:8">
      <c r="A74" s="16" t="s">
        <v>40</v>
      </c>
      <c r="B74">
        <v>76</v>
      </c>
      <c r="G74" s="16" t="s">
        <v>110</v>
      </c>
      <c r="H74">
        <v>18</v>
      </c>
    </row>
    <row r="75" spans="1:8">
      <c r="A75" s="16" t="s">
        <v>482</v>
      </c>
      <c r="B75">
        <v>212</v>
      </c>
      <c r="G75" s="16" t="s">
        <v>183</v>
      </c>
      <c r="H75">
        <v>13</v>
      </c>
    </row>
    <row r="76" spans="1:8">
      <c r="G76" s="16" t="s">
        <v>482</v>
      </c>
      <c r="H76">
        <v>311</v>
      </c>
    </row>
    <row r="92" spans="1:8">
      <c r="A92" s="17" t="s">
        <v>527</v>
      </c>
      <c r="G92" s="17" t="s">
        <v>528</v>
      </c>
    </row>
    <row r="93" spans="1:8">
      <c r="A93" s="15" t="s">
        <v>481</v>
      </c>
      <c r="B93" t="s">
        <v>531</v>
      </c>
      <c r="G93" s="15" t="s">
        <v>481</v>
      </c>
      <c r="H93" t="s">
        <v>532</v>
      </c>
    </row>
    <row r="94" spans="1:8">
      <c r="A94" s="16" t="s">
        <v>118</v>
      </c>
      <c r="B94">
        <v>4.3933333333333335</v>
      </c>
      <c r="G94" s="16" t="s">
        <v>118</v>
      </c>
      <c r="H94">
        <v>3.5555555555555554</v>
      </c>
    </row>
    <row r="95" spans="1:8">
      <c r="A95" s="16" t="s">
        <v>294</v>
      </c>
      <c r="B95">
        <v>4.83</v>
      </c>
      <c r="G95" s="16" t="s">
        <v>294</v>
      </c>
      <c r="H95">
        <v>3</v>
      </c>
    </row>
    <row r="96" spans="1:8">
      <c r="A96" s="16" t="s">
        <v>47</v>
      </c>
      <c r="B96">
        <v>4.1539999999999999</v>
      </c>
      <c r="G96" s="16" t="s">
        <v>47</v>
      </c>
      <c r="H96">
        <v>3.96</v>
      </c>
    </row>
    <row r="97" spans="1:8">
      <c r="A97" s="16" t="s">
        <v>38</v>
      </c>
      <c r="B97">
        <v>4.129569377990431</v>
      </c>
      <c r="G97" s="16" t="s">
        <v>38</v>
      </c>
      <c r="H97">
        <v>3.861244019138756</v>
      </c>
    </row>
    <row r="98" spans="1:8">
      <c r="A98" s="16" t="s">
        <v>133</v>
      </c>
      <c r="B98">
        <v>3.818709677419355</v>
      </c>
      <c r="G98" s="16" t="s">
        <v>133</v>
      </c>
      <c r="H98">
        <v>4.032258064516129</v>
      </c>
    </row>
    <row r="99" spans="1:8">
      <c r="A99" s="16" t="s">
        <v>67</v>
      </c>
      <c r="B99">
        <v>4.0618181818181824</v>
      </c>
      <c r="G99" s="16" t="s">
        <v>67</v>
      </c>
      <c r="H99">
        <v>4.0909090909090908</v>
      </c>
    </row>
    <row r="100" spans="1:8">
      <c r="A100" s="16" t="s">
        <v>482</v>
      </c>
      <c r="B100">
        <v>4.1099999999999985</v>
      </c>
      <c r="G100" s="16" t="s">
        <v>482</v>
      </c>
      <c r="H100">
        <v>3.8906752411575565</v>
      </c>
    </row>
    <row r="114" spans="1:8">
      <c r="A114" s="17" t="s">
        <v>529</v>
      </c>
      <c r="G114" t="s">
        <v>533</v>
      </c>
    </row>
    <row r="115" spans="1:8">
      <c r="A115" s="15" t="s">
        <v>481</v>
      </c>
      <c r="B115" t="s">
        <v>483</v>
      </c>
      <c r="G115" s="15" t="s">
        <v>481</v>
      </c>
      <c r="H115" t="s">
        <v>549</v>
      </c>
    </row>
    <row r="116" spans="1:8">
      <c r="A116" s="16">
        <v>0</v>
      </c>
      <c r="B116">
        <v>241</v>
      </c>
      <c r="G116" s="16" t="s">
        <v>118</v>
      </c>
      <c r="H116">
        <v>3.6666666666666665</v>
      </c>
    </row>
    <row r="117" spans="1:8">
      <c r="A117" s="16">
        <v>1</v>
      </c>
      <c r="B117">
        <v>1</v>
      </c>
      <c r="G117" s="16" t="s">
        <v>294</v>
      </c>
      <c r="H117">
        <v>0</v>
      </c>
    </row>
    <row r="118" spans="1:8">
      <c r="A118" s="16">
        <v>2</v>
      </c>
      <c r="B118">
        <v>1</v>
      </c>
      <c r="G118" s="16" t="s">
        <v>47</v>
      </c>
      <c r="H118">
        <v>5.92</v>
      </c>
    </row>
    <row r="119" spans="1:8">
      <c r="A119" s="16">
        <v>3</v>
      </c>
      <c r="B119">
        <v>3</v>
      </c>
      <c r="G119" s="16" t="s">
        <v>38</v>
      </c>
      <c r="H119">
        <v>1.9138755980861243E-2</v>
      </c>
    </row>
    <row r="120" spans="1:8">
      <c r="A120" s="16">
        <v>4</v>
      </c>
      <c r="B120">
        <v>9</v>
      </c>
      <c r="G120" s="16" t="s">
        <v>133</v>
      </c>
      <c r="H120">
        <v>0</v>
      </c>
    </row>
    <row r="121" spans="1:8">
      <c r="A121" s="16">
        <v>5</v>
      </c>
      <c r="B121">
        <v>21</v>
      </c>
      <c r="G121" s="16" t="s">
        <v>67</v>
      </c>
      <c r="H121">
        <v>4.1818181818181817</v>
      </c>
    </row>
    <row r="122" spans="1:8">
      <c r="A122" s="16">
        <v>6</v>
      </c>
      <c r="B122">
        <v>21</v>
      </c>
      <c r="G122" s="16" t="s">
        <v>482</v>
      </c>
      <c r="H122">
        <v>1.2186495176848875</v>
      </c>
    </row>
    <row r="123" spans="1:8">
      <c r="A123" s="16">
        <v>7</v>
      </c>
      <c r="B123">
        <v>12</v>
      </c>
    </row>
    <row r="124" spans="1:8">
      <c r="A124" s="16">
        <v>8</v>
      </c>
      <c r="B124">
        <v>2</v>
      </c>
    </row>
    <row r="125" spans="1:8">
      <c r="A125" s="16" t="s">
        <v>482</v>
      </c>
      <c r="B125">
        <v>311</v>
      </c>
    </row>
  </sheetData>
  <pageMargins left="0.7" right="0.7" top="0.75" bottom="0.75" header="0.3" footer="0.3"/>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14677-C880-4B2C-8A20-09F1780B2799}">
  <sheetPr codeName="Sheet5"/>
  <dimension ref="A1:H34"/>
  <sheetViews>
    <sheetView topLeftCell="A13" zoomScale="20" zoomScaleNormal="18" workbookViewId="0">
      <selection activeCell="AB122" sqref="AB120:AB122"/>
    </sheetView>
  </sheetViews>
  <sheetFormatPr defaultRowHeight="13.8"/>
  <cols>
    <col min="1" max="1" width="8.796875" style="26"/>
    <col min="2" max="2" width="8.796875" style="26" customWidth="1"/>
    <col min="3" max="9" width="8.796875" style="26"/>
    <col min="10" max="35" width="8" style="26" customWidth="1"/>
    <col min="36" max="16384" width="8.796875" style="26"/>
  </cols>
  <sheetData>
    <row r="1" spans="1:8" ht="31.8" customHeight="1"/>
    <row r="2" spans="1:8" ht="33.6">
      <c r="H2" s="27"/>
    </row>
    <row r="3" spans="1:8" ht="87.6">
      <c r="A3" s="26" t="s">
        <v>553</v>
      </c>
      <c r="H3" s="28"/>
    </row>
    <row r="34" s="26" customFormat="1"/>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867C8-2B4B-4179-AB8B-0DCF261AF351}">
  <dimension ref="A1:Q13"/>
  <sheetViews>
    <sheetView topLeftCell="B1" zoomScale="24" zoomScaleNormal="34" workbookViewId="0">
      <selection activeCell="AH13" sqref="AH13"/>
    </sheetView>
  </sheetViews>
  <sheetFormatPr defaultRowHeight="13.8"/>
  <cols>
    <col min="1" max="16384" width="8.796875" style="24"/>
  </cols>
  <sheetData>
    <row r="1" spans="1:17" s="23" customFormat="1" ht="79.2" customHeight="1">
      <c r="A1" s="23" t="s">
        <v>551</v>
      </c>
    </row>
    <row r="2" spans="1:17" hidden="1"/>
    <row r="3" spans="1:17" ht="14.4" hidden="1" thickBot="1"/>
    <row r="13" spans="1:17" ht="41.4">
      <c r="Q13"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DF1F0-86D1-410C-8585-A54DC5A3A015}">
  <dimension ref="AC5:AI103"/>
  <sheetViews>
    <sheetView topLeftCell="A70" zoomScale="20" zoomScaleNormal="27" workbookViewId="0">
      <selection activeCell="AF94" sqref="AF94"/>
    </sheetView>
  </sheetViews>
  <sheetFormatPr defaultRowHeight="13.8"/>
  <cols>
    <col min="1" max="16384" width="8.796875" style="30"/>
  </cols>
  <sheetData>
    <row r="5" spans="29:35" ht="73.2">
      <c r="AC5" s="29" t="s">
        <v>552</v>
      </c>
      <c r="AI5" s="31"/>
    </row>
    <row r="46" s="30" customFormat="1"/>
    <row r="103" s="30" customFormat="1" ht="0.6" customHeight="1"/>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Hr dataset</vt:lpstr>
      <vt:lpstr>Employee Demographics</vt:lpstr>
      <vt:lpstr>Salary&amp; Compensations</vt:lpstr>
      <vt:lpstr>Department &amp; Position</vt:lpstr>
      <vt:lpstr>Dashbord1</vt:lpstr>
      <vt:lpstr>Dashbord2</vt:lpstr>
      <vt:lpstr>Dashbord3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RUTUJA UMAK</dc:creator>
  <cp:lastModifiedBy>RUTUJA UMAK</cp:lastModifiedBy>
  <dcterms:created xsi:type="dcterms:W3CDTF">2025-09-03T06:09:04Z</dcterms:created>
  <dcterms:modified xsi:type="dcterms:W3CDTF">2025-09-13T07:53:06Z</dcterms:modified>
</cp:coreProperties>
</file>